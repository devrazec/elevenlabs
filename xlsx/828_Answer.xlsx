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swer" sheetId="1" r:id="rId5"/>
  </sheets>
  <definedNames>
    <definedName hidden="1" localSheetId="0" name="_xlnm._FilterDatabase">Answer!$B$1:$AC$829</definedName>
  </definedNames>
  <calcPr/>
</workbook>
</file>

<file path=xl/sharedStrings.xml><?xml version="1.0" encoding="utf-8"?>
<sst xmlns="http://schemas.openxmlformats.org/spreadsheetml/2006/main" count="1663" uniqueCount="833">
  <si>
    <t>id</t>
  </si>
  <si>
    <t>id_question</t>
  </si>
  <si>
    <t>name</t>
  </si>
  <si>
    <t>word</t>
  </si>
  <si>
    <t>timed</t>
  </si>
  <si>
    <t>mp3</t>
  </si>
  <si>
    <t>active</t>
  </si>
  <si>
    <t>Yes, I have thought about it seriously more than once, as building something genuinely my own is very appealing to me.</t>
  </si>
  <si>
    <t>true</t>
  </si>
  <si>
    <t>Starting a business is something I have considered quite seriously at various points in my career, and I find the idea both exciting and honestly quite daunting. The appeal of creating something from scratch and being your own boss is very real. But so is the uncertainty, the financial risk, and the sheer volume of things you would need to figure out completely alone.</t>
  </si>
  <si>
    <t>The idea of starting a business is one I return to periodically, and each time I think about it more seriously and with greater nuance than before. What appeals most is the creative freedom and the direct connection between effort and outcome. What gives me genuine pause is the reality that most businesses fail, often through factors outside the founder's control. I think the right approach would be starting small, solving a genuine problem I understand deeply, and growing deliberately rather than chasing scale from the very beginning.</t>
  </si>
  <si>
    <t>I have, briefly, and it gave me an invaluable perspective that I genuinely could not have gained any other way in my career.</t>
  </si>
  <si>
    <t>Yes, I have had experience in a field quite different from where I ended up professionally, and I look back on that period with real appreciation. The skills and perspectives I gained were different from anything in my formal training. I think those cross field experiences develop a kind of flexible thinking that stays with you long after the specific technical knowledge has faded away completely.</t>
  </si>
  <si>
    <t>Working in a different field was one of the more unexpectedly valuable experiences of my professional life, even though it did not feel particularly strategic at the time at all. I spent a period in a role quite far from my current area, which forced me to think and communicate in fundamentally different ways than before. The experience gave me genuine empathy for people with different professional backgrounds and a much broader understanding of how different organizations function. I also discovered transferable skills I did not know I had, which gave me considerably more confidence in my overall adaptability going forward.</t>
  </si>
  <si>
    <t>Yes, I spent a semester overseas during university, and it genuinely and permanently changed my perspective on almost everything important to me.</t>
  </si>
  <si>
    <t>Studying abroad was one of the most formative experiences of my life, and I am enormously grateful I had the opportunity and took it. Being immersed in a different academic culture while simultaneously navigating daily life in an unfamiliar country taught me things no classroom ever could. I came back fundamentally more independent, adaptable, and genuinely curious about the world than when I had originally left home.</t>
  </si>
  <si>
    <t>The period I spent studying abroad stands out as one of the most genuinely transformative experiences of my entire education, and its effects have been far more lasting than I initially anticipated they would be. Living independently in a different country at that stage of life forced a kind of rapid personal development that simply would not have happened at home surrounded by familiar support systems and comfortable routines. Academically, I was exposed to different teaching approaches and intellectual traditions that challenged assumptions I had not even realized I was carrying with me. But the real education happened outside the classroom, in navigating daily life, building friendships across cultural differences, and learning to be genuinely comfortable with uncertainty and discomfort.</t>
  </si>
  <si>
    <t>Yes, several times, and the preparation process taught me as much about resilience and real discipline as anything else I have ever done.</t>
  </si>
  <si>
    <t>Difficult exams have been a significant part of my educational and professional life, and I look back on the most challenging ones with a mixture of genuine pride and relief. The preparation process, more than the exam itself, is where the real learning actually happens for most people. I found that difficult exams also revealed a great deal about how I personally handle sustained pressure and uncertainty over a long period.</t>
  </si>
  <si>
    <t>The most difficult exams I have faced have been genuinely formative experiences, not primarily because of what they tested but because of everything the preparation process demanded from me personally. Sustained and high stakes study over an extended period requires a kind of mental discipline and organizational clarity that does not come naturally to most people and has to be deliberately developed over time. I learned a great deal about my own working patterns, vulnerabilities, and real resilience through that entire process. What stays with me most is not the relief of finishing or even the outcome, but the quiet confidence that comes from having genuinely pushed yourself to your limits and found them further out than you ever expected.</t>
  </si>
  <si>
    <t>Yes, I learned guitar as a teenager and still play occasionally, though nowhere near as regularly as I genuinely should or would like to.</t>
  </si>
  <si>
    <t>I learned to play piano during childhood and guitar in my teens, though I would describe my current level on both as decidedly rusty from lack of practice. Music was a significant part of my life for several years, and I genuinely miss the focus and satisfaction that regular practice produces in you. It is one of those skills that deteriorates surprisingly quickly without consistent attention, which I find both humbling and genuinely motivating to think about.</t>
  </si>
  <si>
    <t>Playing a musical instrument is one of the experiences I am most glad I was pushed toward as a child, even though I did not always appreciate it at the time at all. The years I spent learning piano and later guitar taught me a great deal about patience, deliberate practice, and the relationship between consistent effort and gradual improvement over time. Those important lessons have been applicable in far more areas of life than just music itself, which is something I did not expect. I still play occasionally, though not with the regularity the skill really deserves, and there is always a mix of genuine pleasure and mild guilt when I pick up an instrument after a long gap.</t>
  </si>
  <si>
    <t>Yes, many times, and there is genuinely nothing quite like experiencing music with thousands of other people all at once together.</t>
  </si>
  <si>
    <t>Live concerts are one of my favorite forms of entertainment, and I have been to quite a few across a range of different genres and venues over the years. There is an energy and immediacy to live performance that recordings simply cannot replicate, regardless of how good the production quality is. Some of the most emotionally powerful experiences I can remember have been at live music events with people I care about.</t>
  </si>
  <si>
    <t>Live concerts hold a particular and irreplaceable place in my life as experiences that connect music to physical memory and emotion in a way that nothing else quite achieves or comes close to. I have attended everything from intimate club shows to enormous stadium events, and each format offers something distinctively worthwhile in its own way. The communal dimension is significant, as being surrounded by thousands of other people who share that specific enthusiasm creates an atmosphere that is genuinely electric and quite unlike anything in everyday life. I have found that concerts for artists I love deeply become almost ceremonial occasions that I look forward to for weeks and remember fondly for many years afterward.</t>
  </si>
  <si>
    <t>Plenty of times, and honestly the things that went wrong have consistently taught me far more than the things that succeeded ever did.</t>
  </si>
  <si>
    <t>Plans not working out is such a universal experience that I am always slightly suspicious of people who claim it never happens to them at all. I have had significant plans fall apart at various points in my life, and the initial disappointment is always real and sometimes genuinely painful to sit with. What I have noticed though is that things rarely go wrong without eventually redirecting you somewhere you genuinely needed to go.</t>
  </si>
  <si>
    <t>Plans not working out as intended is something I have experienced often enough to have developed a fairly philosophical and grounded relationship with the whole phenomenon. The gap between what we plan and what actually happens is so consistent across human experience that learning to navigate it gracefully is genuinely one of the more important life skills there is to develop. My bigger failed plans have taught me most about the difference between factors within my control and those that simply are not. I have also found that some of the best things in my life have emerged from plans that did not work out, redirecting me toward something better I had not anticipated or even considered before.</t>
  </si>
  <si>
    <t>Yes, and living alone taught me an enormous amount about myself that I genuinely do not think I could have learned any other way.</t>
  </si>
  <si>
    <t>I have lived alone for a substantial period, and I found the experience genuinely valuable and quite formative in many unexpected ways. There is a particular kind of self knowledge you develop when you are entirely responsible for your own space, time, and overall wellbeing. I became more self sufficient and, perhaps surprisingly, more socially intentional and deliberate as a direct result of that experience.</t>
  </si>
  <si>
    <t>Living alone was one of those experiences I approached with mild anxiety that very quickly turned into genuine appreciation for everything it offered me. The freedom to structure your time and space entirely according to your own preferences is something you really only understand once you have had it and experienced it fully. I also discovered that I am far more comfortable with my own company than I had previously assumed or believed, which was a reassuring and genuinely useful thing to learn about myself at that stage. The discipline of managing everything independently, from cooking to finances to social life, felt quietly empowering in a way that has stayed with me even now that my living circumstances have since changed.</t>
  </si>
  <si>
    <t>Yes, on a special occasion, and while it was genuinely memorable, I am not entirely sure it justified the considerable price we paid.</t>
  </si>
  <si>
    <t>I have had the experience of dining at a high end restaurant a couple of times for significant occasions, and I found it genuinely fascinating as much as truly enjoyable. The level of detail and craft involved in the food and service was remarkable and clearly represented years of serious skill development by everyone involved. Whether it is worth the considerable cost is a separate question that I am still somewhat honestly undecided about.</t>
  </si>
  <si>
    <t>Eating at a genuinely expensive restaurant is an experience I have had a few times and found genuinely illuminating about both food and the deeper nature of luxury itself. The craft involved in the very best fine dining is extraordinary, as the precision, creativity, and attention to every single detail is impressive in a way that is hard to fully appreciate without experiencing it directly yourself. What I found most interesting was how the entire experience was carefully designed, from the pacing and presentation to the impeccable service, to create something that felt closer to theatre than a simple meal out. Whether I would prioritize spending that amount of money on food regularly is another matter entirely, but as an occasional experience it is genuinely worthwhile and educational.</t>
  </si>
  <si>
    <t>Yes, I have volunteered regularly at various points in my life and found it consistently one of the most genuinely rewarding uses of my time.</t>
  </si>
  <si>
    <t>Volunteering has been a meaningful part of my life at different stages, and I think it has genuinely shaped how I see my relationship with the wider community around me. The experience of contributing time and effort toward something with no personal financial reward is surprisingly clarifying about what actually matters to you as a person. I have also met some of the most interesting and committed people I know through voluntary work of various kinds.</t>
  </si>
  <si>
    <t>My experiences with volunteering have been some of the most genuinely valuable of my entire life, both for the direct contribution made and for what they have taught me about myself and different parts of society I would not otherwise have ever encountered. There is something distinctly different about working alongside people who are there purely through choice and genuine conviction rather than obligation or payment. The energy and commitment in those environments tends to be quite remarkable and deeply inspiring to be part of. I have also found that volunteering provides a useful counterweight to the often self focused nature of professional life, regularly reminding you of broader contexts and different kinds of need and remarkable human resilience that exist all around you.</t>
  </si>
  <si>
    <t>Yes, and losing my phone briefly made me uncomfortably aware of how genuinely dependent on it I had actually become without ever realizing it.</t>
  </si>
  <si>
    <t>I have lost my phone once and had a laptop stolen on a separate occasion, and both experiences were genuinely stressful in different and very revealing ways. The immediate practical disruption was significant, but what struck me more was the realization of how much personal information and daily functioning I had entrusted to a single device. Both incidents made me considerably more deliberate and careful about backups and security practices going forward.</t>
  </si>
  <si>
    <t>Losing a phone and having a computer stolen at different points in my life were both genuinely unpleasant experiences, though they each taught me something valuable and lasting about how I manage my digital life. The initial panic in both cases was about the practical disruption, the lost contacts, interrupted work, and the logistical inconvenience of replacing the device as quickly as possible. But the more lasting impact was a heightened awareness of how much of my digital life existed without any real backup or meaningful redundancy in place. I significantly overhauled my approach to data security and backup practices after both incidents, which I honestly should have done much earlier before anything went wrong.</t>
  </si>
  <si>
    <t>Yes, several times, and each one revealed just how deeply habituated to constant connectivity I had become without ever fully realizing it myself.</t>
  </si>
  <si>
    <t>I have attempted digital detoxes with varying degrees of seriousness and duration, and the experiences have been consistently instructive even when imperfectly executed by me. The most striking thing each time is not the difficulty of staying offline, which is real but manageable, but the discovery of how much time becomes genuinely available. Even brief periods of sustained disconnection reveal the true cost of habitual connectivity in ways that no amount of reading about the subject can quite replicate or prepare you for.</t>
  </si>
  <si>
    <t>My experiences with digital detox periods have been consistently more revelatory than I expected them to be, which itself says something interesting about how normalized constant connectivity has become in daily life. The initial hours are characterized by a kind of restlessness, the habitual reaching for a device that is not there, and a slight anxiety about not knowing whether something requires your immediate attention. Beyond that initial adjustment, something genuinely different and wonderful emerges, a quality of sustained attention to immediate experience and a surprising richness in whatever is directly in front of you. I come back from these periods more convinced of their value each time, which is why I have made shorter versions a more regular feature of my routine rather than an occasional dramatic intervention.</t>
  </si>
  <si>
    <t>Yes, once, and the combination of panic and forced resignation I felt in that moment was genuinely quite memorable and honestly educational.</t>
  </si>
  <si>
    <t>I have missed a flight exactly once, and it was a genuinely unpleasant experience that I have been very careful not to repeat since then. I underestimated the airport queue badly and watched the gate close with that particular sick feeling that comes with knowing it was entirely and completely avoidable. On the positive side, it made me considerably more conservative and careful about departure times from that point forward in my life.</t>
  </si>
  <si>
    <t>Missing a flight is one of those experiences you never quite forget, partly because of the immediate stress and partly because of how avoidable it usually is in honest retrospect. When it happened to me, the sequence of small miscalculations that led to it felt almost comically predictable in hindsight, traffic I had not properly accounted for, a queue I had not anticipated, and optimism about timing that the situation simply did not support at all. What struck me most was how quickly the initial panic was replaced by a kind of forced acceptance, as you cannot do anything about it once it has happened. I have been a considerably more cautious and well prepared traveler ever since that day.</t>
  </si>
  <si>
    <t>I prefer keeping birthdays fairly low key, as a nice meal with the people I actually care about most feels genuinely perfect to me.</t>
  </si>
  <si>
    <t>My ideal birthday is a deliberately relaxed and intimate one rather than anything large or elaborate and overwhelming. I usually try to take the day off work and spend it doing things I genuinely enjoy without any particular agenda or external pressure. In the evening, I like gathering a small group of close friends for dinner somewhere we have all been genuinely wanting to try together for a while.</t>
  </si>
  <si>
    <t>Birthdays have become less about celebration in the traditional sense and more about intentional reflection and genuine connection as I have gotten older and wiser. I try to take the day off and use part of it for something that feels personally meaningful to me, often a long walk somewhere beautiful or time spent on a creative project I have been neglecting for too long. The social element matters too, but I strongly prefer an intimate dinner with a handful of genuinely close friends over any kind of large and noisy gathering. What I most value is the quality of conversation and real presence rather than the scale or spectacle of the occasion itself.</t>
  </si>
  <si>
    <t>Christmas for me means family, genuinely good food, and a deliberate and welcome slowing down that I find truly restorative and deeply precious.</t>
  </si>
  <si>
    <t>Christmas is one of the times of year I genuinely look forward to, largely because it provides a reliable structure for slowing down and spending extended unhurried time with family. We have a few traditions that have persisted for many years, which I find comforting and meaningful in a way that is honestly hard to fully articulate to others. The food is also a very significant and genuinely enjoyable part of the whole wonderful occasion for everyone involved.</t>
  </si>
  <si>
    <t>Christmas holds a particular and special warmth for me that I think comes from the combination of established traditions, beloved family presence, and the deliberate permission it gives to step completely away from work and ordinary daily routine. We tend to gather as an extended family for at least part of the period, which involves a lot of cooking, eating, and the kind of long and unhurried conversation that busy daily life rarely allows or makes room for. I have also developed some personal traditions over the years, specific films I rewatch and walks I take on Christmas morning, that feel genuinely precious in their consistency and reliability. The period between Christmas and New Year is my absolute favorite part, completely unscheduled, wonderfully quiet, and unhurried.</t>
  </si>
  <si>
    <t>I read recipes fairly often throughout the week, especially when planning meals or attempting something completely new and exciting in the kitchen.</t>
  </si>
  <si>
    <t>I look at recipes quite regularly, probably several satisfying times each week without fail throughout the entire year. I genuinely enjoy experimenting in the kitchen, and a good recipe always gives me both real inspiration and a solid starting point to work creatively from. I rarely follow them exactly though, as I usually adapt things based on whatever fresh ingredients I currently have available at home.</t>
  </si>
  <si>
    <t>Recipes are something I turn to quite regularly and enthusiastically, particularly at weekends when I have more time to cook properly and thoughtfully without feeling rushed or pressured. During busy weekdays, I tend to stick to familiar dishes I already know well and can prepare quickly and confidently. On days off, I browse through cookbooks and food websites looking for exciting ideas I have never tried before and genuinely want to explore in my kitchen. What I appreciate most is that recipes teach underlying techniques and principles, not just specific dishes, helping me improvise far more creatively and confidently over time.</t>
  </si>
  <si>
    <t>I wake up early most days, usually around six, because I find those quiet morning hours incredibly calm and genuinely productive for focused work.</t>
  </si>
  <si>
    <t>I try to wake up early at least five days every week, usually well before seven in the morning each day. Starting the day quietly before everything gets busy really sets a wonderfully positive and focused tone for everything that follows. On weekends though, I do allow myself to sleep in a little longer without feeling any guilt about it at all.</t>
  </si>
  <si>
    <t>Waking up early has become a genuine and valued habit for me, though it definitely took some considerable time to properly establish and consistently maintain. I typically rise around six, giving me a couple of precious hours to exercise, eat a proper breakfast, and carefully plan my day before things get hectic. I have noticed that on early mornings I am significantly more focused and productive throughout the entire afternoon as a direct and welcome result of that early start. That said, I do not stress if I occasionally sleep in, as proper rest matters just as much as any daily routine does for overall wellbeing.</t>
  </si>
  <si>
    <t>Family gatherings usually involve a lot of eating, catching up warmly, and inevitably revisiting the same beloved and funny stories all over again.</t>
  </si>
  <si>
    <t>Family gatherings for me are mostly centered around a shared meal, which naturally creates the structure and rhythm for everything else that follows. There is a lot of warm conversation that moves between catching up on recent news and fondly reminiscing about older shared memories, often simultaneously and joyfully. I find those occasions genuinely warm and grounding, even when they also involve a certain predictable amount of gentle family chaos and noise.</t>
  </si>
  <si>
    <t>Family gatherings have a particular quality that I genuinely value deeply, even though they can also be exhausting in ways that other social occasions simply are not. There is something uniquely comforting about being around people who have known you across different periods of your life and hold a kind of continuity and context that newer relationships simply cannot replicate. We usually organize things around food, with cooking together being as much a part of the occasion as sitting down and eating together. The conversations tend to move freely between catching up, shared memories, and occasional friendly debates about things we will never fully agree on, which I have learned to find endearing rather than frustrating. These gatherings genuinely remind me of what matters most in life.</t>
  </si>
  <si>
    <t>I eat vegetables every single day, as they are now a central and truly important part of pretty much every meal I prepare at home.</t>
  </si>
  <si>
    <t>Vegetables are a very big and valued part of my daily diet, and I try hard to include them in at least two meals every single day without fail. I have found that planning meals carefully in advance makes it much easier to eat consistently well and healthily throughout the entire week. My absolute favorites are probably roasted sweet potatoes and anything fresh, green, and leafy that I can find at the local market near me.</t>
  </si>
  <si>
    <t>I have become much more intentional and thoughtful about eating vegetables over the past few years, largely because I noticed how much better I felt when my diet became more plant heavy and genuinely nutritious overall. These days, I include them in virtually every single meal, whether it is spinach in morning eggs, a fresh salad at lunch, or beautifully roasted vegetables alongside dinner each evening. I also try to vary what I eat regularly to ensure I am getting a broad and diverse range of important nutrients rather than relying on the same two or three familiar things every day. It is one very good habit I genuinely never want to give up or abandon for any reason.</t>
  </si>
  <si>
    <t>I try to learn something genuinely new at least once every month, whether it is professionally relevant or simply just for personal fun and curiosity.</t>
  </si>
  <si>
    <t>Learning new skills is something I genuinely and consistently prioritize, not just for career advancement but for meaningful personal growth and development too. I usually dedicate a few hours every week to online courses or reading around topics that genuinely and deeply interest me at that particular time. It keeps everything wonderfully fresh and gives me a real and satisfying sense of meaningful forward momentum in my life overall.</t>
  </si>
  <si>
    <t>I have always believed that continuous learning is one of the most important habits any person can seriously and deliberately develop throughout their entire life. In practice, I try to pick up at least one completely new skill every couple of months, sometimes professionally relevant and sometimes just personally interesting and curious to explore more deeply. Recently, I have been exploring data analysis tools, which turned out far more directly applicable to my daily work than I originally expected them to be at all. I also try to learn actively from the people around me, since informal knowledge sharing is often just as genuinely valuable as any formal course or structured program.</t>
  </si>
  <si>
    <t>I try hard to read at least one book every single month, though I do go through phases of reading considerably more than just that modest monthly target.</t>
  </si>
  <si>
    <t>Reading books is truly one of my most consistent and deeply valued personal habits, and I usually manage to get through about one or two every month without fail. I read a satisfying mix of fiction and non fiction, depending entirely on my current mood and what I genuinely feel I need at that particular time. There is something deeply and uniquely satisfying about finishing a truly great book that absolutely nothing else in life quite replicates or matches for me.</t>
  </si>
  <si>
    <t>Books have been a genuinely central and treasured part of my life for as long as I can possibly remember, and they have shaped my thinking in profoundly important and lasting ways over many years. I try very hard to read every single day, even if it is just twenty or thirty quiet minutes before going to sleep at night after a long and demanding day of work. Non fiction tends to strongly dominate my reading list, particularly psychology, history, and science, but I include fiction regularly because it builds deep empathy in ways that purely factual reading simply cannot ever achieve alone. Reading is honestly the one habit I would most enthusiastically and unreservedly recommend to absolutely everyone without any hesitation whatsoever.</t>
  </si>
  <si>
    <t>I listen to music almost every single day, as it is one of my absolute favorite ways to relax deeply and stay genuinely focused on work.</t>
  </si>
  <si>
    <t>Music is a pretty constant and genuinely welcome presence throughout most of my busy day from morning to evening every day. I usually have something playing while I am working, commuting, or cooking dinner at home in the evenings after a long day. My taste is fairly eclectic, which means there is almost always something perfectly suited to whatever particular mood I happen to be in at any given time.</t>
  </si>
  <si>
    <t>Honestly, I listen to music throughout most of my day, and I find it genuinely and completely hard to imagine daily life without it at all. In the mornings, I tend to go for something energetic and upbeat to help me wake up properly and feel truly motivated and ready to face the day ahead. During work, I always switch to instrumental playlists because lyrics can be quite distracting when I am trying to concentrate deeply on something important and complex. Evenings are usually reserved for something much more mellow and reflective, which helps me genuinely unwind and properly prepare for a good night of restful sleep.</t>
  </si>
  <si>
    <t>I do not read comics very regularly at all, but I do enjoy them occasionally as a lighthearted and genuinely fun creative escape from everyday life.</t>
  </si>
  <si>
    <t>Comics are not really a daily habit for me, but I do revisit them from time to time, especially well regarded and highly recommended graphic novels that genuinely catch my attention. I grew up reading them enthusiastically as a child and still have a genuinely real and warm soft spot for the unique storytelling style they beautifully offer readers. Some graphic novels I have read as an adult have been genuinely profound and beautifully illustrated works of remarkable artistic achievement and emotional depth.</t>
  </si>
  <si>
    <t>My relationship with comics has evolved quite a bit since childhood, when I read them voraciously and with enormous enthusiasm and genuine excitement at every new issue or collection I got my hands on. These days, I do not follow any ongoing series regularly, but I do pick up graphic novels occasionally, usually ones that have been very strongly recommended by trusted sources or have won notable and prestigious awards. What I find most compelling about the medium is how effectively it combines visual storytelling with complex and layered narratives that can genuinely rival traditional novels in their emotional depth and lasting impact on the reader. I probably pick one up every couple of months, which honestly feels about right for me and my current reading habits and available free time.</t>
  </si>
  <si>
    <t>Weekends are usually a wonderful mix of outdoor activities, catching up with friends, and finally tackling whatever I have been putting off all week.</t>
  </si>
  <si>
    <t>My weekends tend to follow a fairly satisfying rhythm of activity and genuine rest that I have developed gradually over time through trial and error. Saturday mornings I usually exercise and do anything practical that needs doing around the house before the day gets away from me. Afternoons and Sundays are more open, often a combination of cooking something ambitious, reading quietly, and spending quality time with people I genuinely care about.</t>
  </si>
  <si>
    <t>Weekends are genuinely important to me as a precious time for real recovery, meaningful connection, and doing things I simply do not get to do during the busy working week at all. I try to protect at least one morning for exercise and time spent outdoors, which sets a wonderfully positive tone for the rest of the entire day. I also deliberately leave some unstructured time rather than scheduling every single hour, because I have found that the best weekend moments often emerge spontaneously rather than being carefully planned in advance. Cooking a proper meal, reading without any time limit, and having completely unhurried conversations with friends are the weekend activities I consistently find most restorative and genuinely satisfying.</t>
  </si>
  <si>
    <t>I check social media just a couple of times daily, but I try very hard to keep it from consuming too much of my valuable and limited time.</t>
  </si>
  <si>
    <t>I use social media fairly regularly, mostly to stay in touch with close friends and keep up with current news and important events happening around me. I spend around thirty minutes every day on it, trying to stay intentional and purposeful rather than scrolling mindlessly through endless and often meaningless content. I have actually cut back quite considerably over the past year and genuinely feel much better for making that positive and deliberate change in my life.</t>
  </si>
  <si>
    <t>My relationship with social media has changed quite significantly over recent time, and mostly very much for the better I am genuinely glad to say. A few years ago, I was on it almost constantly and soon noticed it was making me feel considerably more anxious and distracted than I wanted or needed to be. Since then, I have set much stricter personal limits, generally checking it just twice a day in the morning and evening only as a rule. I now use it mainly to stay meaningfully connected with people I truly care about and to follow accounts directly related to my professional interests and ongoing development as a person.</t>
  </si>
  <si>
    <t>I browse the internet every single day without fail, as it has become completely essential for both my work and my personal curiosity and ongoing research.</t>
  </si>
  <si>
    <t>I use the internet consistently throughout the entire day, mostly for work related research and staying reasonably well informed about current events and important developments happening around the world. I try to be fairly selective and discerning about what I actually read rather than consuming whatever randomly appears in front of me on any given screen. That said, I definitely fall down the rabbit hole of genuinely interesting articles more often than I would honestly like to openly admit to anyone.</t>
  </si>
  <si>
    <t>At this point in my life, browsing the internet is simply an unavoidable and deeply embedded part of daily existence, and I am online for several hours across various different devices every single day without exception. For work, I use it constantly to research important topics, communicate with colleagues, and access tools that are genuinely essential to performing my professional role effectively and well. In personal time, I tend to read long form articles and explore topics that have recently caught my genuine curiosity and sustained attention for a while. I have made a conscious effort to be more intentional about what I consume online, since it is very easy to spend hours without learning anything truly meaningful or valuable at all.</t>
  </si>
  <si>
    <t>I scroll through social media posts once or twice every day, mostly during my morning coffee or in the quiet and relaxed evening hours at home.</t>
  </si>
  <si>
    <t>Reading social media posts is something I now actively try to limit to specific and predetermined times of day rather than doing it constantly and mindlessly throughout the entire day. I usually spend around twenty focused minutes in the morning catching up on whatever has happened overnight while enjoying my first coffee. I have also become quite selective and careful about who I follow, which makes the overall content far more interesting and genuinely worthwhile for me personally.</t>
  </si>
  <si>
    <t>My social media reading habits have changed quite significantly over the past couple of years, and mostly very much for the better I am truly glad to report to anyone who asks. I used to scroll endlessly through feeds and often ended each session feeling vaguely unsatisfied and slightly anxious about everything around me, which prompted me to seriously reconsider how I was using these platforms. Now I check feeds just once in the morning and occasionally in the evening, remaining much more intentional and purposeful about the accounts I choose to follow carefully. I focus only on content related to things I genuinely care deeply about, such as design, science, and a few carefully selected and trusted news sources that I respect.</t>
  </si>
  <si>
    <t>I try to travel internationally at least once every year, with budget and available time naturally permitting of course throughout the year for me.</t>
  </si>
  <si>
    <t>International travel is something I actively prioritize whenever I realistically and practically can, usually managing one or two truly meaningful trips every year. I find that experiencing genuinely different cultures completely resets my perspective in a very powerful way that nothing else really does for me quite like it. Even short trips to nearby neighboring countries feel surprisingly enriching, genuinely worthwhile, and leave a lasting and positive impression on my overall outlook and approach to life.</t>
  </si>
  <si>
    <t>Traveling abroad is something I am deeply and genuinely passionate about, though the actual frequency always varies depending on current work commitments and personal finances available to me at any given time. On average, I manage to get away internationally about once or twice every year, which honestly never quite feels like enough for someone who loves it as much as I do. I tend to plan trips well in advance so I can explore each destination properly rather than rushing through the usual tourist highlights that everyone else visits quickly and superficially. What I enjoy most is truly immersing myself in daily local life, visiting authentic markets, trying delicious street food, and genuinely connecting with interesting and welcoming local people wherever I go.</t>
  </si>
  <si>
    <t>I check my emails several times during work hours every day, but I try very hard to completely avoid looking at them in the evenings at home.</t>
  </si>
  <si>
    <t>Email is a genuinely significant and unavoidable part of my working day, and I typically check my inbox three or four times between morning and late afternoon each day. I have found that batching all email time together rather than responding instantly makes me considerably more focused and productive overall throughout the entire working day. Outside of work hours, I keep notifications switched completely off unless something is genuinely and truly urgently important and simply cannot wait until the following morning.</t>
  </si>
  <si>
    <t>Managing email effectively and efficiently is something I have had to actively and deliberately work on, because I used to check it almost constantly and found it deeply and frustratingly disruptive to my focused work and concentration throughout the day. Now I have a much more structured and disciplined approach, checking my work inbox only at set times, usually morning, midday, and late afternoon each working day without deviation. I try to respond to anything genuinely important within twenty four hours and archive or delete anything that does not truly require any direct action from me at all. This positive shift has made a truly noticeable and lasting difference to my overall daily focus and stress levels over time.</t>
  </si>
  <si>
    <t>I do enjoy working out, especially when I have built enough consistency that it actually starts feeling natural and genuinely rewarding rather than a chore.</t>
  </si>
  <si>
    <t>Working out is something I have genuinely come to enjoy, though it took some real time to find a form of exercise that truly suited my personality and schedule. I prefer a satisfying mix of strength training and cardio rather than focusing exclusively on just one type of movement. The mental benefits, including better focus, lower stress, and improved sleep, honestly motivate me just as much as any physical goals I might have set for myself.</t>
  </si>
  <si>
    <t>My relationship with exercise has changed substantially over the years, and I think the key shift was moving away from purely appearance based motivation toward how working out actually makes me feel day to day in my real life. When I exercise consistently, the difference in my mood, energy, and cognitive clarity is genuinely noticeable and significant to me and everyone around me. I prefer varied workouts that combine different types of movement rather than rigid programs, because variety keeps it interesting and reduces the likelihood of eventual burnout. I have also learned that consistency matters far more than intensity, as showing up regularly for moderate sessions beats occasional heroic efforts every single time in the long run.</t>
  </si>
  <si>
    <t>I love podcasts, as they have become my absolute favorite way to learn and stay genuinely informed during otherwise unproductive and wasted time throughout the day.</t>
  </si>
  <si>
    <t>Podcasts have become a really significant and valued part of how I consume information and ideas, particularly during commutes and exercise sessions. I follow a satisfying mix of long form interview shows and more tightly produced narrative journalism, depending on my mood and what I want to get from the listening experience. The format is genuinely brilliant for turning time that would otherwise feel wasted into something truly enriching and memorable.</t>
  </si>
  <si>
    <t>My enthusiasm for podcasts has grown steadily over the past several years, and I now consider them one of my primary sources of intellectual stimulation and genuine daily entertainment. What I love most is the format's flexibility, as you can engage with genuinely long form and complex conversations that television or written media rarely accommodate in quite the same satisfying way. I follow shows covering history, science, technology, and compelling storytelling, and the quality of the very best productions genuinely rivals anything available in traditional media today. I particularly appreciate the interview format for the way it allows ideas to develop naturally over time rather than being compressed into short and unsatisfying soundbites. It is a medium that truly rewards patience and genuine curiosity in a very deep way.</t>
  </si>
  <si>
    <t>I genuinely enjoy running, as there is something uniquely clarifying about it that absolutely no other form of exercise quite replicates for me personally.</t>
  </si>
  <si>
    <t>Running is something I have genuinely grown to really appreciate, even though it took quite a long time to actually enjoy it rather than just reluctantly endure it. Once I stopped worrying about pace and distance and just focused on being outside and moving freely, everything completely changed for the better. Now it is one of the most reliably mood lifting things I do throughout the entire week without exception.</t>
  </si>
  <si>
    <t>My relationship with running has evolved considerably over the years from something I genuinely dreaded to something I now actively look forward to most days of the week. The turning point was shifting my focus entirely away from performance metrics and toward the experience of simply being outside and moving through the world at a genuinely human pace. I find it particularly valuable for mental clarity, as some of my best ideas and clearest thinking consistently happen during runs when my mind is free to wander without any agenda or obligation. It has also become a form of moving meditation that I had not anticipated finding so genuinely useful and deeply restorative for my overall wellbeing and daily mood.</t>
  </si>
  <si>
    <t>I really enjoy swimming, as there is something wonderfully meditative about being submerged in water and moving rhythmically and peacefully through it each time.</t>
  </si>
  <si>
    <t>Swimming is one of my favorite forms of exercise, largely because it feels so completely different from everything else I do to stay active and healthy. The combination of full body movement and the unique sensory experience of being in water is genuinely restorative in a way I find honestly hard to fully explain to others. It also leaves me feeling noticeably calmer and more refreshed than almost any other physical activity I regularly engage in throughout the week.</t>
  </si>
  <si>
    <t>Swimming has always held a special and important place in my exercise routine, partly for practical reasons as it is low impact and works the whole body simultaneously, but mostly for how it consistently makes me feel during and long afterward. There is a quality of focused immersion that is quite unique to swimming, as the muffled sound, the rhythm of strokes and breathing, and the wonderful feeling of weightlessness create a genuinely meditative experience that I find deeply and consistently calming. I notice a real and meaningful difference in my stress levels and sleep quality on days when I have swum compared to days I have not at all. It is the kind of exercise that genuinely feels like a well deserved reward rather than a burdensome obligation to get through.</t>
  </si>
  <si>
    <t>Yes, genuinely, as running has become one of the most consistently enjoyable and mentally clarifying parts of my entire weekly exercise routine now.</t>
  </si>
  <si>
    <t>Running is something I am enjoying more than ever right now, which is partly surprising given how much I used to strongly resist it in my earlier years. I have settled into a comfortable rhythm and pace that feels genuinely sustainable and truly enjoyable rather than punishing and exhausting. The mental benefits have become just as important and valuable to me as any physical ones I might be gaining along the way.</t>
  </si>
  <si>
    <t>These days I genuinely look forward to running in a way that would have seemed quite implausible to me even just a few years ago when I consistently avoided it. A significant part of that wonderful shift has been completely letting go of any sense of performance pressure and simply running at a pace that allows me to actually enjoy being outside and freely moving. I have also started incorporating different and interesting routes to keep things fresh and prevent the whole experience from becoming too mechanical and routine over time. The combination of physical movement, fresh air, and mental space that running provides is something I now genuinely miss when I go more than a few days without it.</t>
  </si>
  <si>
    <t>Honestly, something involving writing or teaching, as both have always felt like genuine callings that I have never fully stopped thinking about.</t>
  </si>
  <si>
    <t>If my career had gone differently, I think I would most likely have ended up in something closer to research or education, areas that have always genuinely attracted and interested me. The intellectual engagement of sustained inquiry and the deep satisfaction of helping others develop real understanding are things I find deeply appealing. I encounter them only occasionally in my current work, which makes me wonder sometimes about the road not taken.</t>
  </si>
  <si>
    <t>Imagining an alternative career path is genuinely interesting because it reveals which attractions and aptitudes have been consistent across time versus which were simply circumstantial products of the specific opportunities that happened to present themselves. If I am truly honest about what has consistently drawn my deepest interest, it is the intersection of understanding complex systems and communicating that understanding clearly to people who genuinely need it. This could have expressed itself through journalism, research, teaching, or several other paths that the specific career I chose only partially satisfies on a daily basis. I do not regret the choice I made, but I recognize that the alternatives were not obviously inferior and would have expressed different genuine aspects of the very same underlying interests and passions.</t>
  </si>
  <si>
    <t>Reading more deeply, cooking more ambitiously, and finally learning an instrument properly are three things I consistently and genuinely wish I had more time for.</t>
  </si>
  <si>
    <t>Additional free time would go primarily toward the creative and intellectual pursuits that currently get squeezed into whatever small gaps remain after necessary obligations are met. I would read more widely and slowly, spend more time cooking properly rather than expediently, and invest more consistently in the language learning I keep starting and inadequately sustaining over time. The honest answer involves doing more of what I already value rather than discovering entirely new and unfamiliar directions.</t>
  </si>
  <si>
    <t>Extra free time is something I have thought about enough to have a genuinely specific and honest answer rather than a vague aspiration about simply relaxing more. What I would do with it is deepen existing interests rather than scatter my attention across exciting new ones I do not have time for anyway. More sustained reading, more ambitious cooking projects, and more time outdoors moving slowly enough to actually notice what is beautifully around me are my true priorities. I would also invest more deliberately and consistently in the relationships that currently survive on less time and genuine attention than they truly deserve from me. What I would not do is fill the additional hours with more mindless consumption of digital content, which is the unhelpful default that tends to absorb all unstructured time without leaving much of genuine substance behind.</t>
  </si>
  <si>
    <t>Somewhere with excellent public infrastructure, genuine cultural richness, and reliable and easy access to beautiful natural surroundings very nearby.</t>
  </si>
  <si>
    <t>If location were genuinely unconstrained, I would choose somewhere that beautifully combines a stimulating urban environment with easy and regular access to nature and the outdoors. A mid sized city with strong cultural life, walkable streets, excellent food, and mountains or coastline within reasonable reach would tick most of my boxes perfectly. Several places in southern Europe come immediately and very naturally to mind when I think about it seriously.</t>
  </si>
  <si>
    <t>Choosing where to live hypothetically without any practical constraints is an interesting exercise because it forces genuine honesty about what you actually value in a daily environment versus what merely sounds appealing in the comfortable abstract. I have visited enough places to have a fairly clear sense that I personally thrive in environments that combine urban stimulation with accessible natural spaces nearby. I also need a culture that genuinely values food, time spent outside, and operates at a pace that allows real presence rather than constant urgency and busyness. Several cities in Portugal, Spain, and parts of northern Italy consistently and strongly score well against all of those personal criteria in my real experience of visiting and exploring them.</t>
  </si>
  <si>
    <t>Somewhere warm, culturally vibrant, and close to the sea, as those three elements together represent my absolute ideal living environment.</t>
  </si>
  <si>
    <t>If I could truly live anywhere without any practical constraints holding me back, I would choose a place that offers genuine cultural depth alongside easy access to natural beauty and a relaxed and welcoming pace of daily life. The quality of food, the walkability of streets, and the proximity to water would all matter enormously to me in making that important choice. A few places in southern Europe and coastal Asia consistently come to mind as strong and appealing candidates worth seriously considering.</t>
  </si>
  <si>
    <t>When I think honestly about where I would truly love to live without any constraints, I find myself drawn to places that offer a very specific and particular combination of qualities that I have come to understand matter most to me through travel and lived experience. I want a city that is stimulating and culturally rich without being overwhelming or relentlessly fast paced and exhausting to navigate daily. I want easy access to natural beauty, whether coastline, mountains, or both within reasonable distance of home. And I want a food culture that treats eating together as a genuinely important and joyful part of daily life rather than just a practical necessity to get through quickly. That combination narrows the list considerably but does not reduce it to zero, which I find genuinely encouraging and exciting to think about.</t>
  </si>
  <si>
    <t>Honestly, my first instinct would be financial security rather than any immediate purchase, as freedom from money anxiety genuinely matters most to me.</t>
  </si>
  <si>
    <t>My genuinely honest first response to a lottery windfall would be to do absolutely nothing immediately and wait. I would create enough distance between the event and any significant decision to ensure my choices were genuinely considered and wise rather than emotionally driven and impulsive. The first thing I would actually acquire is not a possession but precious time, the space to think carefully about how to use the resource in ways that genuinely improve life.</t>
  </si>
  <si>
    <t>The lottery question is interesting precisely because the genuinely honest answer reveals something important about values that a more considered hypothetical might carefully obscure from view. My first impulse is not toward any specific purchase but toward establishing the financial foundation that makes genuine and lasting choice possible for myself and my family. Once that foundation was firmly established, the thing I would most want to acquire is not an object but a meaningful experience, specifically a substantial period of completely free time in which to pursue projects, travel, and relationships with the kind of genuine sustained attention that ordinary busy life rarely ever permits or allows. The freedom to truly choose how to spend your time is the real luxury that sufficient money ultimately enables for anyone who has it.</t>
  </si>
  <si>
    <t>I would choose a philosopher, a scientist, and a great storyteller, as that combination would guarantee genuinely extraordinary and unforgettable conversation throughout.</t>
  </si>
  <si>
    <t>If I could have dinner with any three people, I would want a mix of someone who understood human nature deeply, someone who had changed the world through science or ideas, and a great writer or artist who saw beauty in unexpected places and things. The conversation between such different but brilliant minds would be genuinely extraordinary and unlike anything else imaginable. I think the real value would be in watching how they listened to and challenged each other throughout the meal.</t>
  </si>
  <si>
    <t>Choosing three dinner companions from all of human history is a genuinely difficult and fascinating exercise because the choice reveals so much about what you truly find important and intellectually compelling. I would want someone who had fundamentally changed how humanity understands itself, perhaps a great scientist or philosopher whose ideas reshaped the entire world. I would also choose a writer or artist who captured some essential truth about human experience in a way that has lasted and continued to resonate across centuries. The third seat I would give to someone who had faced extraordinary adversity and emerged with their humanity and curiosity fully intact and flourishing. The conversation between those three very different kinds of greatness would be something I would carry with me for the rest of my life.</t>
  </si>
  <si>
    <t>I would secure my family's financial future first, then invest meaningfully in causes and projects I genuinely believe in and care about.</t>
  </si>
  <si>
    <t>If I suddenly had a large sum of money, my first priority would be creating genuine and lasting financial security for the people I love most. After that, I would invest in experiences and learning rather than accumulating more possessions that would not actually improve my daily life in any meaningful way. I would also want to contribute meaningfully to causes and organizations doing work I genuinely believe matters for the world.</t>
  </si>
  <si>
    <t>Winning a large sum of money is one of those hypotheticals that reveals your actual values far more clearly than you might expect or be entirely comfortable with. My honest priorities would be financial security first, then creating genuine freedom from the need to make professional decisions primarily based on income rather than meaning and impact. I would invest significantly in experiences, travel, and the relationships that matter most to me but often get less time and attention than they truly deserve. I would also give generously to causes I believe in deeply, as having resources without using some of them to address genuine suffering and need would feel like a serious moral failure and missed opportunity for real good in the world.</t>
  </si>
  <si>
    <t>I would travel slowly and deliberately, write something meaningful, and finally give real sustained attention to the projects I keep indefinitely postponing.</t>
  </si>
  <si>
    <t>A completely free year would be an extraordinary gift that I would want to use with genuine intentionality rather than simply filling with busyness of a different kind. I would travel slowly and deeply to places I have always wanted to explore properly rather than just visit briefly as a tourist. I would also dedicate significant time to writing and learning, and to strengthening the relationships that daily life consistently squeezes into insufficient time and genuine attention.</t>
  </si>
  <si>
    <t>A free year with no obligations is the kind of prospect that sounds immediately wonderful but actually requires some real thought about how to use it wisely and meaningfully. My first instinct would be to travel slowly and deliberately through places I have always wanted to understand more deeply than a tourist visit ever allows. I would also use a significant portion of that precious time for sustained creative and intellectual work, the kind that requires long uninterrupted stretches of focused time that ordinary life almost never provides or makes room for. Perhaps most importantly, I would use the freedom to be genuinely present with the people I love most, without the constant background pressure of obligations pulling my attention somewhere else. That quality of full presence is perhaps the scarcest and most genuinely valuable resource of all in busy modern life.</t>
  </si>
  <si>
    <t>Probably with genuine composure, as I would want to acknowledge their work specifically rather than just expressing generic excitement or overwhelming admiration.</t>
  </si>
  <si>
    <t>I think I would react with considerably more composure than the celebrity encounter scenario typically implies, partly because my admiration for people I genuinely respect is firmly attached to what they have actually created rather than to their personal presence or fame. Meeting someone whose work has genuinely moved you is interesting, but they are also simply a person navigating their own complex life and deserving of ordinary human courtesy. I would want to ask something genuinely specific and interesting rather than simply gushing in a way they have surely experienced countless times before.</t>
  </si>
  <si>
    <t>My reaction to meeting someone I genuinely admire would depend significantly on the specific context and person involved, but I hope and believe it would be characterized by genuine curiosity rather than performed excitement or reverential paralysis and awkwardness. The people I most admire are those whose work has contributed something genuinely real to my thinking or emotional experience over time, and meeting them would primarily make me curious about things I do not already know from their public output and interviews. The choices they made that are not visible in the finished work, the questions they are currently exploring, and the things they have honestly changed their minds about are what I would want to ask about. That genuine curiosity, treated with basic courtesy, seems like the most respectful and genuinely interesting way to engage with someone whose creative or intellectual work you truly and deeply value.</t>
  </si>
  <si>
    <t>Read more slowly and deliberately, and invest more consistently in the creative projects that current time pressure keeps pushing indefinitely aside.</t>
  </si>
  <si>
    <t>Two extra hours daily is enough time to make a genuinely significant difference to the things that currently get squeezed out by competing demands and obligations. I would use them primarily for deeper reading and for sustained work on creative projects that currently exist only in fragments because they never get the uninterrupted time they truly require to develop properly. Both would compound meaningfully over time in ways that justify protecting them even against competing demands that feel more immediately urgent and pressing.</t>
  </si>
  <si>
    <t>Two extra daily hours is a genuinely interesting thought experiment because the honest answer reveals my actual priorities more clearly than abstract questions about values often manage to do. I would protect those additional hours fiercely for the things that currently get continuously displaced by more urgent competing demands on my time and attention. The deep reading that requires genuinely sustained uninterrupted attention, the creative work that only happens in extended focused sessions rather than brief gaps between other obligations, and the kind of unhurried time with specific people that genuine relationship depth truly requires are my real priorities here. The common thread is that all three require sustained and unhurried attention rather than efficient brief engagement, which is precisely the quality that modern life most consistently and frustratingly fails to provide for the things that matter most.</t>
  </si>
  <si>
    <t>I would have taken more genuine risks earlier, as comfort zones tend to shrink rather than expand if left undisturbed for too long without challenge.</t>
  </si>
  <si>
    <t>The things I would do differently mostly involve acting on genuine instinct earlier rather than waiting for more certainty and reassurance before finally moving forward. I spent more time than was truly useful preparing for decisions that ultimately required making them before full information was ever available anyway. The decisions that worked out best were rarely made with significantly more information than the ones that did not, but they were made with much greater clarity about what I actually wanted and needed.</t>
  </si>
  <si>
    <t>What I would have done differently centers less on specific individual decisions and more on the internal approach I brought to making them throughout my earlier life. I spent considerable time optimizing for what seemed safe or sensible by external standards rather than what felt genuinely aligned with who I actually was and what I truly valued deep down. That gap between performed and authentic choice is something I have worked to close progressively over the years, but I genuinely wish the important work had started considerably earlier in my life. The other thing I would meaningfully change is how I related to difficulty and failure, treating them primarily as evidence of inadequacy rather than as genuinely necessary and deeply informative parts of any worthwhile endeavor worth pursuing.</t>
  </si>
  <si>
    <t>Stop worrying so much about what other people think, as most of them are far too busy worrying about themselves to notice you anyway.</t>
  </si>
  <si>
    <t>If I could give my sixteen year old self one piece of advice, it would be to invest more deliberately in genuine self knowledge rather than spending so much energy trying to meet external expectations and please everyone around me. Understanding what you actually value and genuinely enjoy, separate from what others expect of you, saves an enormous amount of wasted time and painful misdirected effort later. That clarity, arrived at early, changes almost every important decision that follows it in life.</t>
  </si>
  <si>
    <t>The advice I would give my sixteen year old self is deceptively simple but genuinely took years to truly internalize and live by consistently. I would tell myself that the approval of people whose opinions I valued so desperately at that age matters far less than I thought it did then, and that the time spent anxiously seeking it was time taken from building the actual capabilities and genuine relationships that would matter later. I would also encourage my younger self to be considerably more patient with the process of becoming who you want to be, since most meaningful development happens slowly and invisibly rather than in the dramatic leaps and milestones we imagine and hope for. And I would remind myself that the discomfort of genuine challenge is not a warning sign but the reliable feeling of actual growth happening in real time.</t>
  </si>
  <si>
    <t>I would start investing in my health and physical habits considerably earlier, as the compounding benefits are genuinely remarkable and truly worth beginning much sooner.</t>
  </si>
  <si>
    <t>If I could change one thing, I would have cultivated deeper focus and more deliberate learning habits much earlier in my life. I spent a surprising amount of time in my twenties consuming information without genuinely processing or applying it in any meaningful way, which feels like a significant missed opportunity in honest retrospect. The habits I have built more recently around depth over breadth have been far more rewarding and genuinely productive in every area of my life.</t>
  </si>
  <si>
    <t>The single change I would make is something that sounds deceptively simple but genuinely took me years to understand and fully internalize. I would have learned earlier to distinguish between what genuinely matters to me and what I was pursuing because of external expectations or unhelpful social comparison with others around me. That confusion between authentic personal preference and performed ambition cost me real time and precious energy in directions that did not ultimately serve the life I actually wanted to be carefully building for myself. Clarity about your own values turns out to be the most practically useful form of self knowledge there is, and I arrived at it considerably later than I honestly wish I had done.</t>
  </si>
  <si>
    <t>I admire businesspeople who have built genuinely sustainable companies while consistently treating their people with real dignity and meaningful respect throughout.</t>
  </si>
  <si>
    <t>There are certainly some outstanding businesspeople I find genuinely worth studying and learning from carefully. What distinguishes them in my mind is not just commercial success but how they have built organizations with strong values and lasting positive impact on the world. Business success that comes at the expense of people or ethical principles is not something I find particularly admirable or genuinely worth emulating in any serious way.</t>
  </si>
  <si>
    <t>My view of what truly makes an outstanding businessperson has become considerably more nuanced as I have gained more experience and broader context over the years. Raw financial success is obviously impressive but feels completely insufficient as a sole measure of genuine excellence in business or any field. The people I genuinely consider outstanding have built organizations that solve real and meaningful problems, treat employees and communities with genuine respect, and demonstrate the wisdom to take a genuinely long term view when enormous short term pressures are pushing in the opposite direction. I am also drawn to entrepreneurs who have faced real failure, honestly learned from it, and rebuilt with greater wisdom and humility than they had before that difficult experience.</t>
  </si>
  <si>
    <t>There have been some genuinely extraordinary basketball players whose remarkable athleticism and fierce competitive drive are almost impossible to fully comprehend or appreciate.</t>
  </si>
  <si>
    <t>Basketball has produced some of the most remarkable athletes in the entire history of sport, and I find the very best of them genuinely fascinating to watch and think about carefully. What truly sets the outstanding ones apart is not just physical ability but extraordinary mental resilience and an almost obsessive commitment to continuous improvement throughout their careers. Those remarkable qualities transcend sport entirely and feel genuinely instructive and applicable for life much more broadly.</t>
  </si>
  <si>
    <t>What I find most compelling about truly outstanding basketball players is not just their remarkable physical gifts, impressive as those undeniably are, but the extraordinary mental qualities that separate the genuinely great from the merely talented and gifted. The best players have consistently demonstrated an ability to perform under immense pressure, adapt intelligently to different opponents, and drive themselves to improve long after most people would feel completely satisfied with their achievements. I am also genuinely interested in how the most influential players have extended their considerable impact beyond the game itself, using their platform to address important social issues or build businesses that outlast their playing careers entirely. That powerful combination of athletic brilliance and broader human ambition is genuinely impressive and worth celebrating widely.</t>
  </si>
  <si>
    <t>Yes, there are activists whose extraordinary courage and genuine commitment to justice have genuinely and permanently changed the world for the better.</t>
  </si>
  <si>
    <t>Outstanding activists are people I find deeply and genuinely inspiring, largely because their work often demands enormous personal sacrifice with very little immediate reward or recognition. What distinguishes the truly great ones is their ability to sustain conviction and energy over very long periods despite constant opposition and setbacks. That kind of sustained moral courage is something I find genuinely rare and profoundly worth admiring and celebrating.</t>
  </si>
  <si>
    <t>The activists I find most genuinely outstanding share a quality that distinguishes them from people who are simply publicly vocal about important causes they care about. They combine deep and informed understanding of the systems they are trying to change with the strategic intelligence to actually move those systems in meaningful ways over time. They also tend to demonstrate extraordinary resilience in the face of opposition that would discourage most people from continuing at all. What moves me most is how many of history's greatest activists worked for decades without seeing the change they were fighting for, sustained purely by conviction and genuine care for people they would never personally meet or know.</t>
  </si>
  <si>
    <t>There are some genuinely brilliant creators online who produce content of remarkable quality and real depth that traditional media rarely manages to match.</t>
  </si>
  <si>
    <t>The YouTube creators I find most genuinely outstanding are those who have used the platform to make complex and important subjects accessible to audiences who would never have encountered them through traditional educational channels. The best channels combine genuine subject matter expertise with real creative and communicative talent in a way that is surprisingly rare and genuinely valuable. I think some of the most effective science and history education happening today is occurring on YouTube rather than in any formal classroom setting.</t>
  </si>
  <si>
    <t>What I find most interesting about outstanding YouTubers is how thoroughly they have challenged assumptions about where genuine expertise and quality content can come from and be found. Some of the most rigorous, thoughtful, and genuinely educational content I have encountered in recent years has been produced by individual creators working with relatively modest resources but extraordinary dedication and passion for their subjects. The best ones have built genuine communities around shared curiosity rather than just accumulating passive viewership, which creates something more valuable and lasting than simple entertainment alone. I think the medium is still genuinely underestimated by people who have not spent time with its very best and most serious practitioners.</t>
  </si>
  <si>
    <t>I think deep specialization with genuine breadth is the ideal, having a strong core alongside meaningful competencies across several relevant adjacent areas.</t>
  </si>
  <si>
    <t>The specialist versus generalist question is one where the honest answer is that context matters enormously and the right balance shifts across a career. Early on, breadth provides flexibility and accelerated learning about what genuinely suits you as a person. As expertise develops over time, depth becomes increasingly valuable and genuinely differentiating in a competitive professional landscape.</t>
  </si>
  <si>
    <t>The specialization versus breadth question is one I have thought about seriously given how directly it affects professional development decisions at every career stage. My current view is that framing it as a binary choice is itself misleading and unhelpful. The most genuinely valuable professionals are not narrow specialists or shallow generalists but people who have built real depth in a primary area while deliberately cultivating understanding across adjacent domains. The value of specialization comes from the depth that enables genuine insight. The value of breadth comes from the connections it makes possible between apparently unrelated domains and ideas. Both matter enormously, and the ratio between them should shift intelligently across a career rather than being fixed at any single point.</t>
  </si>
  <si>
    <t>Hard work, primarily, as talent determines your ceiling but consistent effort determines how close you actually get to it over time.</t>
  </si>
  <si>
    <t>My honest view is that hard work is considerably more determinative of success than popular narratives about natural talent typically suggest or celebrate. Talent provides initial ease and perhaps sets some ceiling on ultimate potential in highly specific domains. But the gap between someone of modest talent who works with genuine discipline and someone of significant talent who does not is consistently and dramatically closed by the former over any meaningful period of time.</t>
  </si>
  <si>
    <t>The talent versus hard work question is one where the genuinely honest answer is more nuanced than either extreme position suggests or allows for. Talent is real, as people do have different natural aptitudes and learning speeds that are not simply products of accumulated effort and practice. But its role in determining outcomes is consistently and significantly overstated by both those who have it and those who study exceptional performance from a comfortable distance. What sustained research on expertise consistently finds is that the distinguishing variable between the merely talented and the genuinely exceptional is the quality and quantity of deliberate practice over extended periods of time. Talent may determine where you start, but dedicated and intelligent work over many years is what determines where you actually end up, which in most domains that matter is overwhelmingly more important than any initial advantage you started with.</t>
  </si>
  <si>
    <t>It genuinely depends on the person and the work, as both have real advantages that suit different temperaments and different stages of a career.</t>
  </si>
  <si>
    <t>The self employment versus company employment question is one where the honest answer depends entirely on the specific person's temperament, financial situation, and what they are actually trying to achieve professionally. Self employment offers genuine autonomy and a direct connection between effort and reward that employment rarely provides in the same satisfying way. Employment offers structure, collaborative resources, and stability that self employment consistently struggles to replicate on its own.</t>
  </si>
  <si>
    <t>Working for yourself versus working for a company is a question where the obvious surface level appeal of autonomy does not fully capture the real and complex tradeoffs involved in either direction. Self employment provides genuine freedom over how, when, and on what you work, which is enormously valuable for certain temperaments and types of work. It also provides unmediated accountability for outcomes, real financial uncertainty, and the considerable overhead of managing everything an organization normally handles invisibly. Employment provides collaborative resources, institutional support, and predictable compensation, alongside the genuine constraint of working within someone else's priorities and established framework. The optimal choice depends on an honest assessment of your own temperament, risk tolerance, and what you are truly trying to build and accomplish in your professional life.</t>
  </si>
  <si>
    <t>Texting for everyday connection, calling for anything genuinely important or emotionally substantial that truly deserves proper and real attention.</t>
  </si>
  <si>
    <t>My preference varies meaningfully depending on the purpose and the specific relationship involved at any given time. Texting is genuinely excellent for low stakes coordination, sharing interesting things, and maintaining the ambient awareness of someone's life that good friendship genuinely benefits from. But for actual conversation that moves through complex emotions or ideas in real time, voice is clearly superior and well worth the slightly higher friction of arranging it deliberately.</t>
  </si>
  <si>
    <t>The texting versus calling preference is one where I have become considerably more deliberate than my default instincts would naturally take me if left unchecked. Texting is comfortable and low friction in ways that make it the default for most communication, and for many purposes that is entirely appropriate and perfectly fine. But I have noticed that relationships conducted primarily through text gradually lose a dimensionality that only voice or physical presence can fully maintain and sustain over time. The actual emotional texture of how someone is genuinely doing, rather than the carefully edited version that asynchronous text naturally produces, is something I increasingly value and actively seek out. I try to balance the genuine convenience of text with regular actual conversations for the friendships that matter most to me.</t>
  </si>
  <si>
    <t>I generally prefer texting for convenience, but I always choose calling when something genuinely important or emotionally meaningful needs to be properly discussed.</t>
  </si>
  <si>
    <t>Texting suits most of my daily communication needs because it is flexible, low pressure, and allows both people to respond at a genuinely convenient time without interrupting whatever they are currently doing. That said, there are clear situations where calling is simply and obviously better, particularly for complex conversations, emotional support, or anything where tone and nuance matter more than mere information exchange. I think using both intelligently rather than defaulting exclusively to one is the genuinely smartest approach.</t>
  </si>
  <si>
    <t>My preference between texting and calling genuinely depends on what I am trying to accomplish and how much the quality of connection in that specific moment truly matters to me. For making plans, sharing quick updates, or sending something funny or interesting, texting is simply faster, less intrusive, and perfectly well suited to the task at hand. But for conversations where I actually want to understand how someone is feeling or work through something complex and nuanced together, calling creates a completely different and far richer quality of exchange and genuine connection. What I have learned over time is that defaulting entirely to text for the sake of convenience gradually erodes the depth of friendships that really need regular voice contact to stay truly alive and meaningful. Being intentional about which medium genuinely serves the relationship best is something I have come to care about quite deliberately.</t>
  </si>
  <si>
    <t>Olive oil for most cooking without question, but butter for specific things where its unique richness and flavour are genuinely irreplaceable and perfect.</t>
  </si>
  <si>
    <t>My honest answer is that I use both regularly but for quite different purposes in the kitchen, and I do not think of them as genuinely competing options. Olive oil is my everyday default for cooking vegetables, dressing salads, and most savoury dishes where its flavour genuinely enhances rather than interferes. Butter is reserved for baking, finishing sauces, and anything where that specific richness is precisely what the dish actually needs and calls for.</t>
  </si>
  <si>
    <t>The olive oil versus butter question is one where I think the most honest answer is simply that both are genuinely excellent and the choice should always be driven by what the specific dish actually requires rather than any ideological preference. Olive oil has become my default cooking fat for most everyday purposes, as the quality of a good extra virgin variety adds genuine flavour and real complexity that I find deeply satisfying and genuinely versatile across many different dishes. Butter, however, is completely irreplaceable in certain specific contexts, from flaky pastry to properly finished pan sauces to simply spread thickly on very good bread. I am somewhat sceptical of people who declare absolute loyalty to one and entirely reject the other, as both have genuinely distinct and irreplaceable qualities that any serious cook should want to have available and use thoughtfully.</t>
  </si>
  <si>
    <t>Yes, especially in social situations, where the combination of good food and enjoyable company makes discipline feel genuinely and completely beside the point.</t>
  </si>
  <si>
    <t>Sticking rigidly to any specific diet is something I genuinely find challenging over any extended period of time, and I think that is actually quite normal and human. I have found much more success with building sustainable everyday habits around food rather than following restrictive programs that create a difficult and unhealthy relationship with eating. The all or nothing mindset that many diets encourage seems to me one of the primary reasons they so frequently and predictably fail for most people.</t>
  </si>
  <si>
    <t>My experience with attempting to follow specific diets has taught me a great deal about the difference between what works in theory and what actually proves sustainable in real daily life over time. The diets I have found most difficult to maintain are invariably the most restrictive ones, which create a psychological dynamic where any small deviation feels like complete failure rather than simply a normal and manageable part of the process. What I have found considerably more effective is focusing on building genuinely good everyday habits rather than following precise and rigid rules that ignore the social, emotional, and genuinely practical dimensions of how people actually eat and live their lives. Eating well, I have concluded, is much more about consistent reasonable choices over a long period than about perfect adherence to any particular structured program.</t>
  </si>
  <si>
    <t>Apps for everyday flexibility and convenience, but a personal trainer when I genuinely need proper technique correction and meaningful external accountability.</t>
  </si>
  <si>
    <t>I have used both workout apps and personal trainers at different points and found each genuinely valuable for quite different and distinct reasons. Apps offer extraordinary flexibility and are excellent once you have sufficient knowledge to train safely and effectively without constant supervision and guidance. Personal trainers provide the technique feedback, genuine accountability, and real time adjustments that are honestly very difficult to replicate through any screen based interaction alone.</t>
  </si>
  <si>
    <t>My preference between workout apps and personal trainers genuinely depends on where I am in my fitness journey and what I am specifically trying to accomplish at that particular time. Early on, working with a knowledgeable trainer was enormously valuable for establishing proper movement patterns and avoiding the kinds of ingrained mistakes that become much harder to correct once they are established habits. Once those foundations were genuinely solid, a well designed app provided all the structure and programming I needed with considerably more scheduling flexibility than regular trainer appointments typically allow. I think the ideal for most people is probably some combination of both, using a trainer periodically to check technique and refresh programming while relying on apps for consistent daily and weekly training throughout the year.</t>
  </si>
  <si>
    <t>Online learning has genuinely democratised education in remarkable ways that simply were not possible or widely accessible just a decade ago.</t>
  </si>
  <si>
    <t>I think online learning is one of the most significant and genuinely exciting developments in education that we have seen in many recent years. It makes truly high quality content accessible to people everywhere regardless of their geographical location or personal financial circumstances. The main ongoing challenge remains motivation and self discipline, which not everyone finds consistently straightforward to maintain in a largely remote and independent learning environment without external accountability.</t>
  </si>
  <si>
    <t>My thoughts on online learning are largely and genuinely positive, though it clearly works better for some content types and certain kinds of learners than it does for others in practice. For skills based topics like coding, design, and data analysis, online platforms are genuinely excellent and often considerably more flexible than traditional classrooms in many important ways. Where online learning consistently struggles is in areas that benefit greatly from real time debate, close mentorship, and genuine face to face interaction between students and experienced teachers who can respond to the specific person in front of them. I have personally completed several online courses and found them truly valuable, but persistently low completion rates suggest the format simply does not suit everyone equally well or consistently.</t>
  </si>
  <si>
    <t>Languages unlock entirely new ways of thinking and genuinely connecting with people, and that is an irresistible draw for many curious and wonderfully open minded people.</t>
  </si>
  <si>
    <t>The real appeal of language learning is genuinely multifaceted and very interesting to think about carefully and honestly. Some people are primarily motivated by practical needs like travel, exciting work opportunities, or important family connections that genuinely require another language to maintain properly and meaningfully. Others are strongly drawn by the intellectual challenge and the well documented cognitive benefits that consistently come with learning an entirely new and complex linguistic system from scratch.</t>
  </si>
  <si>
    <t>People who truly love languages tend to share a certain kind of deep and genuine curiosity about the world and about broader human experience and cultural diversity. Learning a language is not just acquiring a useful communication tool but genuinely gaining access to a fundamentally different and fascinating way of organising and expressing reality and thought. There is also a wonderful and enriching social dimension, as speaking even a little of someone's native language creates an instant and genuine connection that translation simply cannot replicate or replace in the same meaningful way. Many language enthusiasts describe particular joy in the gradual process of real improvement, where things once completely incomprehensible slowly become clear and wonderfully natural to understand and confidently use in real situations.</t>
  </si>
  <si>
    <t>I find it genuinely exciting and deeply humbling at the same time, as it constantly and usefully reminds you how much there still is to learn and discover.</t>
  </si>
  <si>
    <t>Studying a foreign language is one of those endeavours I find simultaneously deeply rewarding and genuinely challenging in ways that keep it consistently interesting over time. The early stages can feel discouraging, as progress is slow and the gap between what you want to express and what you can actually say feels frustratingly wide. But the moments when comprehension suddenly clicks into place and real communication becomes possible are genuinely thrilling and make all the effort feel completely worthwhile.</t>
  </si>
  <si>
    <t>My feelings about studying a foreign language are shaped significantly by actual experience of doing it rather than any abstract sense of what it should feel like in theory. The process is genuinely humbling in important ways, as it returns you to a state of being a beginner and forces a kind of patience and tolerance for imperfection that adult life does not usually demand or reward particularly well. It also creates a profound appreciation for your own native language, as you start to notice constructions and nuances you had always used automatically but never consciously noticed or thought about before. Beyond the practical communication benefits, I think language learning develops a particular kind of cultural empathy and genuine openness that is genuinely difficult to acquire any other way.</t>
  </si>
  <si>
    <t>It genuinely depends on the subject, as some things are better learned online while others really need the energy and interaction of being physically present.</t>
  </si>
  <si>
    <t>My preference between online courses and in-person classes genuinely varies depending on what I am trying to learn and what kind of engagement the subject actually requires from me. Technical and skills based subjects often work extremely well online, where I can pause, revisit, and work at my own pace without any external pressure. Discussion based subjects and anything requiring hands on practice or real time feedback genuinely benefit from the in-person format in ways that online delivery struggles to fully replicate or compensate for.</t>
  </si>
  <si>
    <t>Having experienced both formats extensively across different subjects and at different stages of my life, I think the preferences between online and in-person learning are more fundamental and important than they initially appear to most people. Online learning changes the basic dynamic of the learning relationship, making it more individual, more self directed, and much more dependent on internal motivation in the complete absence of social accountability. In-person learning creates a particular quality of shared intellectual experience, the collective working through of genuine difficulty, the unexpected directions that real conversation takes, that online formats approximate but do not fully replicate for most people and most subjects. The genuinely optimal approach for any given person and subject probably involves thoughtful elements of both rather than treating them as simply interchangeable alternatives that deliver the same outcomes.</t>
  </si>
  <si>
    <t>I think video games are a legitimate and often underrated art form that genuinely deserves far more cultural respect and serious critical recognition today.</t>
  </si>
  <si>
    <t>Video games have come an incredibly long and impressive way, and I now genuinely consider them one of the most creative and exciting forms of entertainment widely available to people today. The storytelling in some truly remarkable modern games genuinely rivals the very best film and literature in terms of emotional depth and narrative complexity. That said, I do think excessive and uncontrolled gaming can become genuinely problematic, particularly for younger and more impressionable people who have not yet developed strong personal boundaries around their time and attention.</t>
  </si>
  <si>
    <t>My thoughts on video games have evolved considerably and positively over the years as the medium itself has matured and grown in genuine sophistication and creative ambition. As a child, I played purely for simple entertainment and fun, but as an adult I have come to deeply appreciate them as a sophisticated creative medium combining storytelling, music, visual art, and interactive design in a truly unique and genuinely powerful way. Some modern game narratives are genuinely and deeply profound, and the emotional experiences they create can be just as powerful and lasting as any great film or novel you might encounter. I also genuinely think games have real and important social value, since many people build lasting and meaningful friendships through shared gaming communities and experiences worldwide.</t>
  </si>
  <si>
    <t>Board games offer genuine face to face connection and strategic challenge in a way that digital games rarely ever truly and fully replicate or match.</t>
  </si>
  <si>
    <t>Board games have experienced a truly remarkable resurgence in recent years, and I think the reasons are fairly clear and understandable to most thoughtful people who have encountered them. They bring people together in a shared physical space, which feels increasingly valuable and precious in our heavily screen dominated modern world. The satisfying combination of strategy, luck, and rich social interaction creates an experience that is genuinely very difficult to reproduce through any purely digital medium currently available.</t>
  </si>
  <si>
    <t>The real appeal of board games makes a lot of genuine sense to me, even though I personally play them less often than I would honestly like to in my own life right now. At their absolute best, they create a kind of structured and genuinely engaging social experience where you are fully present with the people actually in the room rather than half distracted by a phone or screen competing for your attention. The extraordinary and diverse range of games available today also helps enormously, from light and accessible games for casual players to deeply complex strategy games requiring real skill, experience, and sustained concentration. Many people also simply love the tangible and satisfying physical quality of board games in our otherwise almost entirely digital and increasingly intangible daily lives.</t>
  </si>
  <si>
    <t>Yoga offers a truly rare combination of physical conditioning and deep mental calm that few other practices can truly and consistently match anywhere.</t>
  </si>
  <si>
    <t>Yoga's genuine appeal is fairly easy to understand once you have actually tried it properly and consistently for yourself over a reasonable period of time. It works the body very differently from conventional exercise, focusing on flexibility, balance, and conscious breath rather than pure strength or speed alone. Many practitioners also deeply and sincerely value it as a mindfulness practice, since it requires you to be genuinely and fully present throughout every single session without exception or distraction.</t>
  </si>
  <si>
    <t>Yoga has grown enormously in worldwide popularity over recent decades, and I think the real reasons go well beyond just its straightforward fitness and flexibility benefits alone. In a modern society where stress levels are consistently high and people spend much of their day sedentary and mentally overloaded with constant information and demands, yoga offers something genuinely distinctive, valuable, and different from most other available options. It simultaneously and effectively addresses the body, breath, and mind together in a way that very few other practices can truly manage to achieve with the same consistency and depth. Regular practitioners often describe it as one of the very few activities where they completely switch off from daily pressures and worries. Unlike many competitive sports, yoga is explicitly non competitive, which especially appeals to people who find performance anxiety genuinely off putting and discouraging.</t>
  </si>
  <si>
    <t>Painting allows people to freely express what words often simply cannot capture at all, as it is both deeply freeing and intensely personal and genuinely creative.</t>
  </si>
  <si>
    <t>Painting appeals to people for many genuinely different and fascinating reasons that vary considerably and widely from one person to another in my experience. Some are clearly drawn to the technical mastery involved in learning to mix colours skillfully, understand perspective properly, and confidently control a brush with real precision and care. Others deeply value it purely as emotional expression or as a wonderfully meditative form of focused and genuinely creative relaxation from the constant stresses of everyday modern life.</t>
  </si>
  <si>
    <t>Painting has a truly distinctive appeal that comes down to a few core and deeply interconnected things that resonate profoundly with many people across very different cultures and backgrounds. First, there is the genuine creative freedom, as unlike many other crafts, painting places almost no real limits on what you can meaningfully express or how you personally choose to express it artistically and visually. Second, the process itself is deeply and genuinely meditative, since focusing on a canvas for extended periods requires sustained attention that truly quiets a busy and overactive mind struggling with daily concerns. Third, there is the tangible and lasting satisfaction of producing something physical and uniquely personal that simply did not exist before you carefully and lovingly created it entirely with your own hands and vision.</t>
  </si>
  <si>
    <t>Cooking gives people a genuinely creative outlet with an immediate and delicious reward, and that powerful combination is very hard to resist for almost anyone.</t>
  </si>
  <si>
    <t>Cooking appeals to people on several genuinely different levels simultaneously, which is part of what makes it so widely practiced and universally loved across very different cultures and contexts. There is the real creativity of combining flavours and techniques, the meditative quality of the process itself, and the deeply satisfying social dimension of feeding people you genuinely care about. For many people, it is also a meaningful and emotional connection to cultural heritage and treasured family memories passed lovingly down through generations.</t>
  </si>
  <si>
    <t>Cooking is one of those activities whose real appeal is almost universal once you truly understand and genuinely engage with it properly and with a genuinely open and curious mind. On the most basic level, it satisfies a fundamental human need, as everyone has to eat, and doing it well gives you a real and quiet sense of genuine self sufficiency and meaningful capability. Beyond that, cooking is endlessly creative, since there is always a new technique to master, a new cuisine to explore, or a familiar dish to boldly reimagine in a completely new and exciting way that surprises and delights everyone at the table. The social dimension is hugely important too, as few things bring people together as effectively and warmly as a shared meal that someone has put real thought and genuine care into preparing for them.</t>
  </si>
  <si>
    <t>Success to me is truly about meaningful progress and genuine purpose, not just achieving external milestones or accumulating personal wealth and social status.</t>
  </si>
  <si>
    <t>I think success is a deeply personal and important concept that gets defined far too narrowly in mainstream culture and broader society today. Most people primarily associate it with money or status, but real and lasting success is about genuinely living in alignment with your own deeply held values and commitments. Those things do not always come with public recognition, but they tend to produce lasting and truly deep satisfaction and genuine contentment over a long period of time.</t>
  </si>
  <si>
    <t>My understanding of what success truly means has changed quite dramatically over time, and I genuinely think that important shift has been healthy and deeply beneficial for me personally. When I was younger, I measured it almost entirely by conventional and external markers like grades, prestigious job titles, and salary level achieved through hard work and ambition. As I have gotten older, I have come to see those things as potential means toward something more meaningful rather than genuinely worthwhile ends in themselves. For me now, real success genuinely means doing meaningful work, maintaining strong and nourishing relationships, and continuing to grow both intellectually and personally every single day of my life going forward.</t>
  </si>
  <si>
    <t>Work life balance is something I take very seriously, as without it both professional performance and personal wellbeing will eventually and inevitably suffer greatly.</t>
  </si>
  <si>
    <t>I think work life balance is absolutely essential for everyone, though what it actually looks like varies considerably from person to person in real daily life. For me personally, it means actively protecting evenings and weekends from unnecessary work intrusions as much as realistically possible throughout the entire year. It is something I have had to consciously and deliberately work toward rather than something that ever happened naturally or effortlessly on its own without consistent effort and clear boundaries.</t>
  </si>
  <si>
    <t>Work life balance is a topic I have thought about a great deal, especially after going through difficult periods where it was clearly and painfully off in my own personal life and affecting everything around me negatively. I genuinely believe that sustained productivity is simply not possible without adequate rest, meaningful personal time, and strong relationships outside of work to truly sustain and nourish you as a whole and complete person. Modern work culture, particularly in certain competitive industries, often dangerously glorifies overwork as a badge of honour rather than recognising it as a clear and serious warning sign worth addressing urgently. Setting firm and clear boundaries around working hours and actually sticking to them has made me both significantly happier and noticeably more effective and creative in my professional role over time.</t>
  </si>
  <si>
    <t>I think sustainable living is no longer truly optional but a genuine and urgent shared responsibility that we all collectively need to embrace and practice right now.</t>
  </si>
  <si>
    <t>Sustainable living is something I feel increasingly passionate and genuinely serious about, even while honestly knowing I still have a long personal way to go myself. I have made meaningful and real changes, reducing plastic use, eating considerably less meat, and being much more mindful about energy consumption at home every single day. But I am fully aware these are still relatively small steps within a much larger and deeply complex systemic challenge that absolutely requires genuine collective action at every level of society.</t>
  </si>
  <si>
    <t>Sustainable living is a topic I feel genuinely conflicted about at times, because the uncomfortable gap between what I truly believe and what I actually do is sometimes frustratingly and uncomfortably wide in my own daily life. I have made meaningful changes, switching to reusable products, cutting down significantly on meat consumption, and being more deliberate and thoughtful about every purchase I make and whether it is truly necessary. But I am fully aware that individual consumer choices only go so far without much broader and more fundamental systemic change happening at real and meaningful scale. The most impactful shifts urgently need to happen at a policy and corporate level, which is why both individual action and genuine collective advocacy matter so enormously right now for everyone on this planet.</t>
  </si>
  <si>
    <t>Public transportation, generally, as it is better for the environment, less stressful than driving, and allows me to use travel time productively.</t>
  </si>
  <si>
    <t>I genuinely prefer public transportation for most of my daily travel needs, largely because it removes the stress of driving and parking while allowing me to read or simply think during the journey instead. In cities with good and reliable systems, it is also significantly faster than driving when traffic is taken into account. That said, there are situations where having a car is simply far more practical and convenient, particularly for travelling to places that public transport does not adequately or conveniently serve.</t>
  </si>
  <si>
    <t>My preference for public transportation over a private car comes from a combination of practical, environmental, and genuinely personal considerations that have solidified over the years through real experience. The environmental argument is strong and important, as private car ownership is one of the most significant individual contributions to carbon emissions for most people in developed countries. But equally compelling to me is how much more pleasant and productive the experience of travelling by train or bus actually is compared to sitting in traffic feeling frustrated and stressed by delays and other drivers. Cities with genuinely excellent public transport systems consistently feel more liveable, more equitable, and more human in scale, which I find deeply appealing and worth actively supporting and celebrating.</t>
  </si>
  <si>
    <t>Neither is categorically better, as they offer genuinely different things that suit genuinely different people at genuinely different and important life stages.</t>
  </si>
  <si>
    <t>The city versus small town question is one where the honest answer is that both offer distinct genuine advantages that suit different people and different phases of life rather than one being simply and objectively superior to the other. Cities provide stimulation, real opportunity, and the particular kind of anonymity that allows genuine reinvention of yourself. Small towns provide community, slower pace, and the particular quality of being genuinely known over time that urban environments rarely produce naturally.</t>
  </si>
  <si>
    <t>My view on city versus small town living has shifted considerably as my priorities have evolved over the years, which I think reflects something real about how the optimal environment genuinely changes across different life stages rather than one option being simply and permanently better than the other. The energy, opportunity, and variety of a large city feel absolutely essential at certain points, when you are building a career, seeking a broad social world, or exploring who you want to be without the limiting familiarity of a small community where everyone already thinks they know you completely. The coherence, pace, and depth of belonging that smaller places can offer become considerably more appealing when the things you are genuinely seeking shift from breadth of experience toward depth of connection and real rootedness in a specific place and community.</t>
  </si>
  <si>
    <t>Somewhere genuinely in between, as I love having a solid plan while remaining completely open to abandoning it entirely when something better unexpectedly presents itself.</t>
  </si>
  <si>
    <t>My natural tendency leans toward planning, as I genuinely find it reduces unnecessary stress and allows me to be more present and relaxed rather than anxiously improvising in the moment. However, I have also learned that over planning can prevent the kind of unexpected discoveries and wonderful detours that often become the most memorable parts of any experience. The best approach for me is a loose and flexible framework that provides direction without eliminating the possibility of genuine and delightful spontaneity along the way.</t>
  </si>
  <si>
    <t>The planning versus spontaneity question is one where I think my genuine preference has evolved and become considerably more nuanced over time through real experience. When I was younger, I strongly favoured detailed planning as a way of managing anxiety about uncertainty and the unknown. As I have gotten older and genuinely more comfortable with uncertainty as a normal and even exciting feature of life, I have come to deeply appreciate the particular quality of experiences that emerge when you leave genuine space for the unexpected and unplanned. My current approach is to plan the essentials that genuinely need planning, secure accommodation, key activities with limited availability, and important commitments, while deliberately leaving significant unstructured time where genuine spontaneity can actually happen and be fully appreciated and enjoyed.</t>
  </si>
  <si>
    <t>Space exploration genuinely fascinates me deeply, as it represents humanity's most ambitious and enduring form of collective curiosity, wonder, and remarkable scientific achievement.</t>
  </si>
  <si>
    <t>I find space exploration genuinely and deeply thrilling, both as an important scientific endeavour and as a powerful and inspiring symbol of human ambition and limitless possibility. The remarkable discoveries it produces about our universe, our planet, and ourselves feel profoundly important and absolutely worth pursuing and investing in carefully. I do think though that investment in space exploration must always be carefully and thoughtfully balanced against the very urgent and pressing problems we still face right here on Earth.</t>
  </si>
  <si>
    <t>Space exploration is one of those fascinating subjects I find endlessly captivating and inspiring, even without any formal scientific background or training in the field whatsoever. There is something deeply and genuinely moving about humans extending their remarkable reach beyond this small planet and directly confronting the vast and humbling scale of the universe all around us. From a practical standpoint, much of the important technology we rely on every day, including GPS navigation and accurate weather forecasting, is a direct and genuinely valuable result of sustained space research and investment over many decades. However, the recent rapid commercialisation of space raises legitimate and important questions about who truly gets to benefit from these extraordinary developments and who actually bears the very real risks involved.</t>
  </si>
  <si>
    <t>Football offers a truly unique and deeply compelling mix of strategy, athleticism, and communal passion that is genuinely very hard to replicate in any other sport.</t>
  </si>
  <si>
    <t>People love football for a whole range of deeply interconnected and genuinely fascinating reasons that go well beyond just the game itself. There is the real excitement of the match, the wonderful unpredictability, the incredible skill, and the unforgettable drama of a last minute goal changing everything completely. But beyond the sport itself, football creates a deeply powerful sense of community and shared identity that matters enormously to millions of devoted people all around the world.</t>
  </si>
  <si>
    <t>Football's remarkable appeal is surprisingly and genuinely layered when you actually think carefully and deeply about it beyond just the surface level excitement and drama it so consistently delivers. On the surface, it is a fast paced and thrilling sport where absolutely anything can happen right up until the final whistle blows, creating sustained tension that few other games can genuinely match or replicate. But what truly explains its remarkable global dominance is the powerful communal dimension, as supporting a team becomes a meaningful and deeply felt way of belonging to something much larger than yourself and your individual daily life. Football at its absolute best is less about sport and more about shared collective human experience, deep cultural identity, and emotional memory passed lovingly across many generations.</t>
  </si>
  <si>
    <t>Golf genuinely appeals to those who enjoy real precision, deep patience, and the meditative quality of spending several quiet and peaceful hours outdoors in beautiful natural surroundings.</t>
  </si>
  <si>
    <t>Golf has a widespread reputation for being slow and exclusive, but I think that view entirely and unfairly misses what genuine and devoted enthusiasts actually love about it as a sport and as a deeply personal challenge. It demands extraordinary mental focus and remarkable consistency maintained carefully over many long hours of play in constantly varying conditions. The beautiful outdoor setting, the deeply personal challenge involved, and the social element all significantly contribute to its enduring and widespread appeal among truly dedicated players everywhere around the world.</t>
  </si>
  <si>
    <t>Golf is genuinely interesting to think about carefully because its appeal seems almost counterintuitive to people who have never actually tried it properly themselves at any point. But I think the qualities that initially seem off putting, the slowness, the quietness, and the solitude involved in playing it, are precisely what genuine devotees most value and deeply cherish about playing it regularly throughout their lives. In a world that is increasingly noisy, distracted, and completely overwhelming, spending four hours in a beautiful outdoor setting requiring your complete and total mental focus feels genuinely and deeply restorative to both the mind and spirit. There is also a uniquely personal challenge at its heart, since you are essentially competing against yourself and the course rather than against anyone else directly and externally.</t>
  </si>
  <si>
    <t>Reusable bags without any hesitation, as the environmental case against single use plastic is genuinely overwhelming and completely impossible to responsibly ignore.</t>
  </si>
  <si>
    <t>I switched to reusable shopping bags some years ago and honestly cannot imagine going back to single use plastic ones at this point at all. The environmental impact of plastic bags is well documented and genuinely serious, and the reusable alternative is so simple and convenient that the barrier to making the switch is really very low for most people. It is one of those small but meaningful habits that feels completely right once it has been properly established in your daily routine.</t>
  </si>
  <si>
    <t>My preference for reusable bags is absolute and has been for quite some time now, though I think it is worth being honest that the impact of this individual choice is genuinely modest in the context of the broader environmental challenges we collectively face. The plastic bag issue is real and worth addressing seriously, but it can also become a way of feeling environmentally virtuous while larger and more consequential consumption decisions remain entirely unexamined and unchanged. That said, I do think habits and values in small daily things tend to reflect and reinforce broader commitments in a meaningful way, and building the practice of reusable bags feels genuinely connected to a wider and more important set of values about waste, consumption, and responsibility that I want to consistently live by.</t>
  </si>
  <si>
    <t>I find artificial intelligence genuinely fascinating, though I strongly believe we need to approach its rapid development with real and very careful caution at every step.</t>
  </si>
  <si>
    <t>Artificial intelligence is one of the most exciting and frankly complex and important topics of our entire time right now without any question at all. I believe it has enormous potential to genuinely improve lives, especially in critical areas like healthcare and education around the world. That said, it raises deeply serious ethical questions that society has not yet fully worked through or satisfactorily resolved in any meaningful or systematic way.</t>
  </si>
  <si>
    <t>My views on artificial intelligence are fairly nuanced, as I am genuinely enthusiastic about its remarkable possibilities but also honestly and deeply concerned about some of the significant risks it presents. On the positive side, artificial intelligence is already transforming medicine, where it can detect serious diseases far earlier than traditional methods ever could before in human history. It is also making everyday tasks more efficient in ways that free up valuable time for more meaningful and genuinely rewarding work for people across many different fields. However, I worry deeply about widespread job displacement and the dangerous concentration of enormous power in just a handful of very large and largely unaccountable technology companies around the world.</t>
  </si>
  <si>
    <t>Social media is a genuinely powerful tool, but it absolutely requires real personal discipline to use it in a truly healthy and balanced way that serves you well.</t>
  </si>
  <si>
    <t>I have quite mixed and conflicted feelings about social media overall and find it genuinely difficult to assess in any simple or completely straightforward way. On one hand, it is an incredible way to stay meaningfully connected and freely share ideas across enormous distances between people all over the world. On the other, the business models behind most major platforms actively encourage deeply unhealthy usage patterns, which I find genuinely and increasingly concerning for individuals and society alike.</t>
  </si>
  <si>
    <t>Social media is a topic I feel quite strongly about, largely because I have personally experienced its effects both positive and negative quite directly in my own daily life over the years. When used thoughtfully and with real intention and purpose, it is a fantastic tool for building genuine communities and maintaining important relationships across great distances effectively and meaningfully. However, most platforms are deliberately and carefully designed to reward outrage and superficiality over nuance, careful thinking, and genuinely constructive discussion between real people with different perspectives. I think younger generations are navigating a truly unprecedented landscape, and society has not yet fully developed the frameworks and wisdom needed to help them do so safely and healthily.</t>
  </si>
  <si>
    <t>I think online banking is genuinely brilliant, as it saves enormous amounts of time and makes managing finances considerably more convenient and accessible than ever before.</t>
  </si>
  <si>
    <t>Online banking has become completely central to how I manage my finances, and I genuinely cannot imagine going back to relying primarily on physical branches for everyday banking needs. The convenience of checking balances, making transfers, and paying bills instantly from anywhere is something I now take entirely for granted but would feel very acutely if it suddenly disappeared. That said, I do remain genuinely vigilant about security, as the convenience comes with real and important risks that need to be actively managed and taken seriously.</t>
  </si>
  <si>
    <t>My feelings about online banking are overwhelmingly positive, though tempered by a genuine awareness of the security landscape that comes with moving financial services entirely online. The practical benefits are extraordinary and real, as the ability to manage all of your financial life from a single app at any time and from anywhere has genuinely transformed the relationship between people and their money in fundamentally positive ways. I also appreciate how much easier online banking has made tracking spending and budgeting honestly, as having real time visibility into your financial position makes better decisions consistently more possible and natural. The risks around fraud and phishing are real and worth taking seriously, but they are manageable with basic security hygiene rather than representing a reason to avoid the technology entirely and miss out on its genuine benefits.</t>
  </si>
  <si>
    <t>Laptop, without much hesitation, as the flexibility to work from different places suits my actual working style and genuine daily needs far better.</t>
  </si>
  <si>
    <t>I strongly prefer a laptop for most of my work and personal computing needs, largely because the flexibility of being able to work from different locations and environments is something I genuinely value and regularly use. There are clear performance advantages to desktop setups, and I fully understand the appeal for people doing intensive creative work or gaming that demands serious processing power. But for my own needs, the portability of a good laptop comfortably outweighs those advantages in almost every real world scenario I encounter.</t>
  </si>
  <si>
    <t>My preference for laptops over desktops comes from a genuine appreciation for flexibility and mobility that has only grown stronger as my working patterns have evolved over the years. The ability to move between a home office, a coffee shop, and any other working environment without sacrificing access to your tools and files feels genuinely liberating rather than simply convenient in a minor way. That said, I do think about the ergonomic limitations of laptop setups fairly seriously, as working on a small screen with a built-in keyboard for extended periods creates real physical strain over time that deserves proper attention and appropriate accessories. The ideal setup for me is a laptop that connects easily to a proper external monitor and keyboard when working at a fixed desk, giving me the genuine best of both worlds effectively.</t>
  </si>
  <si>
    <t>On balance, I think the disadvantages currently outweigh the advantages, largely because of how most platforms are deliberately designed and deeply problematically incentivised.</t>
  </si>
  <si>
    <t>My honest view is that social media has genuine and significant advantages that are consistently and systematically undermined by the specific ways the dominant platforms are designed and monetised. The technology itself is not the fundamental problem, as connection, information sharing, and community building are all genuinely valuable and important human activities. The real problem is the business model that requires maximising engagement above all other considerations, which reliably produces outcomes that are genuinely not good for users or for society regardless of any underlying positive potential.</t>
  </si>
  <si>
    <t>The advantages versus disadvantages question about social media is one I find genuinely difficult to answer categorically because the honest answer depends so heavily on which specific platforms, which particular uses, and which individual users you are actually discussing and examining. At its very best, social media enables remarkable and genuinely valuable things, such as genuine communities forming around shared interests that geography would have otherwise prevented, access to information and diverse perspectives that would otherwise remain completely invisible, and real connections maintained meaningfully across great distance. At its worst, it amplifies harmful division, manufactures destructive outrage, exploits psychological vulnerabilities in deeply troubling ways, and creates comparison driven misery at an extraordinary and unprecedented scale. The fundamental problem is that the worst uses are structurally incentivised by the dominant platforms in ways that the best uses unfortunately are not, which tilts the overall balance considerably further toward net harm than the technology's genuine underlying potential would ever suggest is truly necessary or acceptable.</t>
  </si>
  <si>
    <t>Both simultaneously, I think, as it genuinely solves old problems while reliably and consistently creating entirely new ones we had not previously anticipated or imagined.</t>
  </si>
  <si>
    <t>Technology makes specific things dramatically and genuinely easier while making the overall texture and experience of life more complicated in ways that are quite easy to underestimate and overlook. The efficiency gains are real and very significant in countless areas of daily life. But the proliferation of options, the always on connectivity expectations, and the cognitive overhead of managing an increasingly complex digital ecosystem create their own genuine and significant burdens that are less visible but equally real and important.</t>
  </si>
  <si>
    <t>The question of whether technology makes life easier or more complicated is one I think has a genuinely and interestingly paradoxical answer, as it does both things simultaneously and the relationship between those two effects is much more complex than either simple optimism or pessimism can adequately capture. Technology has unquestionably solved enormous problems and created genuine capabilities that were previously simply impossible for ordinary people to access or afford. But it has also generated new categories of real complexity, new forms of troubling dependency, new sources of genuine anxiety, and new vectors for serious distraction that previous generations simply did not have to navigate or manage. My observation is that people who manage technology most successfully are those who use it deliberately for specific valued purposes rather than allowing it to permeate every available moment by default and without genuine intention behind the use.</t>
  </si>
  <si>
    <t>Both, simultaneously and in very different contexts, as the net effect depends almost entirely on how deliberately and consciously they are being used by each individual person.</t>
  </si>
  <si>
    <t>Smartphones are doing both things to human relationships simultaneously, which makes categorical assessments frustrating and genuinely somewhat misleading as a result. They enable real connection across distances that would otherwise completely preclude relationship maintenance, which is genuinely real and valuable. They also create deeply problematic patterns of distracted presence in face to face interactions that consistently damage the quality of the relationships they are supposedly serving and supporting.</t>
  </si>
  <si>
    <t>The relationship between smartphones and human connection is genuinely paradoxical and worth thinking about very carefully and honestly. They are simultaneously the most powerful tools for maintaining relationships across great distance that have ever existed and a consistent source of meaningful degradation in the quality of face to face connection that sustained relationships ultimately require for their real depth and lasting health. The research on this is fairly consistent and quite striking, as the mere presence of a smartphone on a table measurably reduces the quality of conversation between people who can see it, regardless of whether it is actively being used by anyone at that moment. That finding, combined with the habitual checking patterns that smartphone design actively cultivates and exploits, suggests that the damage to in-person relationship quality is structural rather than simply a matter of individual discipline easily corrected through better personal choices and intentions alone.</t>
  </si>
  <si>
    <t>Yes, I genuinely believe so, and I notice it in my own attention and focus in ways that I find both honest to acknowledge and genuinely concerning.</t>
  </si>
  <si>
    <t>The evidence suggesting that technology has significantly affected attention spans is compelling enough to take seriously and discuss honestly rather than dismiss defensively. The design of most digital platforms actively and deliberately optimises for frequent engagement over sustained and deep attention, which inevitably shapes the habits and expectations of people who use them extensively every day. I notice the effects in myself, as I find sustained reading and deep focused work require considerably more deliberate effort now than they did in my earlier years before smartphones became so central and ubiquitous in daily life.</t>
  </si>
  <si>
    <t>The question of whether technology has shortened attention spans is one I think about with genuine personal concern as much as intellectual curiosity and interest. The mechanism seems fairly clear and well documented, as constant access to rapidly refreshing and easily consumed content trains the brain to expect frequent novelty and immediate reward in ways that make sustained and patient engagement with slower and more demanding material feel increasingly effortful and uncomfortable over time. I notice this in my own reading habits, where the pull to check something quickly or switch tasks has become considerably stronger than it used to be in earlier periods of my life before constant connectivity became the norm. The good news is that attention, like any genuine cognitive capacity, can be deliberately strengthened through consistent practice and appropriate environmental design that supports it actively rather than working constantly against it.</t>
  </si>
  <si>
    <t>My smartphone, simply because it connects me to the people I love, the information I need, and the tools that make my daily work genuinely possible.</t>
  </si>
  <si>
    <t>If I am being genuinely honest, the piece of technology I could least do without is probably my smartphone, not because I am uncritically enthusiastic about it but because it has become so deeply embedded in how I manage communication, navigation, and daily logistics that its absence would create real and significant practical disruption. That said, I do actively try to manage my relationship with it deliberately rather than allowing it to demand my constant and undivided attention at all hours.</t>
  </si>
  <si>
    <t>The technology I genuinely could not live without is my smartphone, which feels like an honest rather than a particularly exciting or original answer, but reflects real dependence that deserves genuine acknowledgement rather than comfortable denial. What makes it genuinely irreplaceable for me is not any single function but the way it integrates communication, navigation, information access, and productivity tools into one device that I carry everywhere and rely on constantly throughout every day. I am also quite aware that this dependence represents a real vulnerability and a genuine tension with values I hold around focus, presence, and not allowing any single platform or device to have too much power over how I spend my time and attention. Managing that tension deliberately and honestly is something I work on actively rather than simply pretending it does not exist or does not matter.</t>
  </si>
  <si>
    <t>It is genuinely exciting and genuinely concerning in equal measure, and I think the outcome depends almost entirely on the policy and social choices we collectively make now.</t>
  </si>
  <si>
    <t>Technology's impact on the job market is one of the most consequential and genuinely complex economic and social questions of our entire time right now. The productivity gains from automation and artificial intelligence are real and enormous in scale, but the distribution of those gains is far from automatic or guaranteed to be fair or broadly beneficial. I think the decisions made in the next decade about taxation, education, and social support will determine whether this technological transition is genuinely broadly beneficial or deeply and unnecessarily damaging for large numbers of people.</t>
  </si>
  <si>
    <t>The way technology is changing the job market is something I think about with a mixture of genuine intellectual fascination and real personal concern about the people who will bear the costs of a transition that is happening considerably faster than most existing social and economic systems are genuinely equipped or prepared to handle. The historical precedent of previous technological transitions suggests that new categories of work do emerge eventually to replace those that are displaced and lost, which provides some genuine grounds for cautious optimism over the longer term. But the short term disruption can be genuinely devastating for specific communities and workers, particularly those in middle skill roles that are most directly and immediately vulnerable to automation and replacement. I think the question is not really whether technology will transform the labour market, which seems entirely inevitable, but whether we will collectively choose to manage that transformation with enough social intelligence and genuine political will to ensure the benefits are broadly rather than narrowly shared.</t>
  </si>
  <si>
    <t>I genuinely enjoy it, particularly the anticipation of the destination and that particular feeling of being wonderfully unreachable for a few precious hours.</t>
  </si>
  <si>
    <t>Travelling by plane is something I have a genuinely mixed and complicated relationship with, if I am being completely honest about it. The destination is always exciting and the experience of crossing enormous distances in just a few hours never entirely loses its sense of genuine wonder when I think about it properly. The actual airport experience, however, the queuing, security, delays, and the general stress of it all, is something I have never fully made peace with or learned to actually enjoy.</t>
  </si>
  <si>
    <t>My feelings about air travel are genuinely mixed in ways I find interesting to reflect on and examine honestly. There is something that still feels slightly extraordinary about boarding a plane in one country and stepping off it somewhere completely different several hours later, a sense of transported possibility that I have not entirely lost even after many flights over many years. At the same time, the environmental cost of flying is something I think about increasingly seriously and with genuine discomfort, as it represents one of the highest impact individual choices most people in wealthy countries regularly make. I try to fly only when the destination genuinely justifies it and to make the most of each trip I do take, partly as a practical response to that discomfort and partly as a reminder that the privilege of easy global travel is worth treating with real respect and genuine appreciation.</t>
  </si>
  <si>
    <t>It genuinely depends on my current mood and energy levels, as sometimes I crave stimulation and sometimes I desperately need complete and total peace and quiet.</t>
  </si>
  <si>
    <t>My honest answer is that it depends entirely on what I need at that particular moment in my life, which varies considerably depending on how tired or energised I am feeling at the time. After a particularly busy and demanding period at work, nothing sounds more genuinely appealing than a quiet beach with absolutely nothing scheduled and nowhere I need to be. But when I am feeling energetic and curious, a new city with its endless discoveries, great food, and cultural richness is far more genuinely exciting and compelling to me.</t>
  </si>
  <si>
    <t>The city versus beach travel question is one where I genuinely resist having a fixed and permanent preference because I think the most satisfying answer is entirely context dependent in an important way. There are moments when the stimulation of a new and unfamiliar city, its architecture, museums, food scene, and the energy of urban life, is exactly what I want and need from a trip away. And there are other moments, usually after extended periods of busyness and high demand, when the only thing that sounds genuinely restorative is a quiet place near water with nothing scheduled and no particular expectations to meet or manage. The ideal holiday for me often tries to combine both, starting with a few days of urban exploration before retreating to somewhere quieter for genuine rest and recuperation and proper reflection.</t>
  </si>
  <si>
    <t>Honestly, only sometimes, as too many meetings lack a clear and specific purpose and end without any genuinely meaningful decisions or clear next steps being made.</t>
  </si>
  <si>
    <t>My experience of meetings is genuinely mixed and depends enormously on how well they are prepared, chaired, and followed up afterward by everyone involved. When meetings are genuinely well run with a clear agenda and the right people present, they can be remarkably effective and productive in ways that no amount of email exchange can fully replicate. When they are poorly structured and open ended, they consume time that could have been far better spent on actual focused and productive work.</t>
  </si>
  <si>
    <t>Meetings occupy a genuinely complicated place in my working life, as they can be either among the most valuable or the most wasteful uses of professional time depending almost entirely on how thoughtfully they are designed and facilitated by the people responsible for them. The very best meetings I have experienced share consistent qualities, including a clear and specific purpose known in advance, the right people present rather than the maximum number of people available, and a genuine commitment to reaching decisions rather than just discussing things at length without resolution. The worst meetings are essentially undirected conversations that could have been an email, an asynchronous update, or simply not held at all without any real loss to anyone involved. I have come to believe that the quality of meeting culture in any organisation is a fairly reliable indicator of its overall health and genuine respect for people's time and attention as genuinely valuable and limited resources.</t>
  </si>
  <si>
    <t>Generally positive overall, as the flexibility and autonomy it offers are genuinely valuable for people who use it thoughtfully and with real deliberate intention.</t>
  </si>
  <si>
    <t>Remote work represents one of the more significant and genuinely consequential shifts in working culture of recent years, and my overall view is genuinely positive while remaining honestly alert to the real challenges it creates that enthusiastic advocates sometimes understate or minimise. The flexibility and autonomy are genuinely and meaningfully valuable for the right people and the right types of work. The costs in terms of spontaneous collaboration, mentorship of junior people, and informal organisational knowledge are equally real and genuinely worth taking seriously and addressing thoughtfully.</t>
  </si>
  <si>
    <t>My feelings about remote work are genuinely nuanced in ways that resist the polarised enthusiasm or reflexive resistance that the topic often generates in public conversation and debate. The genuine advantages, flexibility, reduced commuting, the ability to work in environments optimised for personal productivity, and access to talent unconstrained by geography, are real and significant and deserve genuine appreciation. The genuine costs, the particular quality of spontaneous collaboration that physical proximity enables, the mentorship relationships that develop naturally in shared spaces, and the informal organisational culture transmitted through daily in-person contact, are equally real and not easily replicated through intentional alternatives alone. My view is that the optimal arrangement is likely some thoughtful and well designed combination rather than either extreme, carefully calibrated to the specific work type, the individual's genuine circumstances, and the organisational culture being maintained and built together over time.</t>
  </si>
  <si>
    <t>I genuinely enjoy both, but I tend to do my deepest and most focused work alone and my most creative and generative work in genuinely collaborative settings.</t>
  </si>
  <si>
    <t>My preference between working in a team and working alone depends significantly on the type of work involved and what stage of a project I am currently in at that moment. For deep analytical or creative work that requires sustained concentration, working alone is considerably more effective and genuinely productive for me. For generating ideas, getting diverse input, and maintaining motivation over extended periods, working collaboratively with the right people adds real and irreplaceable value that I genuinely cannot replicate working entirely alone.</t>
  </si>
  <si>
    <t>The honest answer about whether I prefer teams or working alone is that I need and genuinely value both in different proportions at different stages of any meaningful piece of work. Solo work is genuinely indispensable for the kind of deep and sustained thinking that produces real insight and genuine quality, the kind of work that constant interruption and context switching makes almost impossible to do well. But purely solo work over extended periods can become narrow and self reinforcing in ways that benefit enormously from the challenge and genuine perspective that good collaborative relationships provide regularly. The teams I have found most genuinely productive are those that create real space for individual deep work while also fostering genuine and intellectually honest collective discussion and shared decision making when it is actually needed and valuable.</t>
  </si>
  <si>
    <t>Yes, I genuinely believe so, as the evidence strongly and consistently suggests that shorter working hours often produce better rather than demonstrably worse outcomes overall.</t>
  </si>
  <si>
    <t>I think the evidence genuinely and compellingly supports working fewer hours for most knowledge workers, not as a lifestyle preference but as a genuine productivity and wellbeing strategy that benefits both employees and organisations simultaneously. The relationship between hours worked and output quality is simply not linear beyond a relatively modest threshold, and pretending otherwise serves cultural expectations and management comfort rather than actual results and genuine human flourishing. The resistance to this change is considerably more ideological than genuinely empirical in most workplaces.</t>
  </si>
  <si>
    <t>The case for shorter working weeks is considerably stronger than mainstream business culture currently acknowledges or is comfortable admitting openly and publicly. Most serious research suggests that knowledge work quality deteriorates meaningfully beyond a moderate number of focused hours, making extended hours a performance of dedication rather than a genuine and measurable contribution to real results and outcomes. The organisations experimenting seriously and rigorously with four day weeks consistently report maintained or actually improved output alongside dramatically better employee wellbeing across multiple important dimensions. The primary obstacle to change is not practical but deeply psychological, as changing the embedded cultural narratives about what working hard is supposed to look and feel like requires considerably more than evidence alone, however compelling and consistent that evidence turns out to be.</t>
  </si>
  <si>
    <t>Yes, I spent most of last weekend reviewing notes and working through practice questions to make sure I was genuinely well prepared and ready.</t>
  </si>
  <si>
    <t>Last weekend was largely dedicated to exam preparation, which meant long stretches of focused studying broken up by short and necessary breaks to stay genuinely alert and mentally fresh throughout. I find that structured revision sessions with clear and specific goals are far more productive than simply sitting with books for hours without a real plan or direction. By Sunday evening I felt considerably more confident and prepared than I had at the start of the weekend, which was a genuinely satisfying and reassuring feeling.</t>
  </si>
  <si>
    <t>Last weekend was entirely consumed by exam preparation, and while it was not exactly the most enjoyable way to spend a weekend, I came out of it feeling genuinely well prepared and quietly confident about what was ahead. I tried to be quite strategic about how I used the time rather than simply reading through everything repeatedly in an unfocused and inefficient way. I focused on identifying and addressing the specific areas where my understanding was genuinely weakest rather than covering material I already knew well and comfortably. I also made sure to take proper breaks and get adequate sleep both nights, because I have learned from experience that exhausted last minute cramming is consistently far less effective than more measured and sustainable preparation spread thoughtfully over time.</t>
  </si>
  <si>
    <t>At that particular time, I was deeply focused on a project that was genuinely demanding a lot of my sustained attention and consistent daily effort.</t>
  </si>
  <si>
    <t>During that period, I was juggling several significant responsibilities simultaneously, which made it a genuinely challenging and quite demanding time in my life. I was balancing work commitments with some important personal goals I had set for myself, which required careful and deliberate time management every single day. Looking back, I handled it reasonably well, though I certainly could have managed my energy and priorities more effectively than I actually did at the time.</t>
  </si>
  <si>
    <t>When I think back to what I was doing during that particular period, it stands out as one of the busier and more genuinely demanding stretches of my life up to that point. I was simultaneously managing a complex work project with a tight deadline and preparing for an important personal commitment that required significant time and real mental energy to do properly. The combination meant that most of my days were quite structured and deliberately planned out from early morning, leaving very little genuine downtime or unscheduled space. In retrospect, that period taught me a great deal about my own capacity for sustained effort under real pressure and about the critical importance of deliberately protecting some recovery time even during the busiest and most demanding stretches of life.</t>
  </si>
  <si>
    <t>I was running regularly every morning during that period, usually just before dawn when the streets were wonderfully quiet and completely peaceful and still.</t>
  </si>
  <si>
    <t>During that phase of my life, I was running four or five times every week, almost always in the early morning before the day got too busy and complicated to make time for it. It became a genuinely anchoring routine that helped me manage the stress of everything else I was dealing with and carrying at the time. I remember those early morning runs quite fondly now, as there was something genuinely special and precious about that quiet and unhurried time before the rest of the day fully began.</t>
  </si>
  <si>
    <t>I was running consistently during that period, usually early in the mornings before work began, which was the only time I could reliably protect from other competing demands on my attention and schedule. I had built up to running five days a week over several months of gradual and patient training, and by that point it had become a deeply established and genuinely important part of my daily routine rather than something requiring any particular motivation or conscious decision making. The early morning timing was important to me for reasons beyond simple scheduling convenience, as that quiet time before the day fully started felt genuinely restorative and mentally clarifying in a way that I could not easily replicate at any other time of day regardless of how much I wanted to.</t>
  </si>
  <si>
    <t>I was training for a half marathon at that time, which was genuinely the most ambitious physical challenge I had ever set myself up to that point.</t>
  </si>
  <si>
    <t>During that period, I was training specifically for a long distance running event that I had signed up for somewhat impulsively but then committed to very seriously and wholeheartedly. The training plan was structured and demanding, gradually building up mileage over several months in a way that required real consistency and genuine patience from me every single week. The whole experience taught me a great deal about incremental progress, delayed gratification, and trusting a process that often did not feel dramatic or exciting in any individual session but was quietly accumulating real progress over time.</t>
  </si>
  <si>
    <t>I was training for a half marathon during that period, which represented a genuinely significant personal challenge for someone who had never run more than five kilometres continuously before committing to the goal. The training program I followed was around sixteen weeks long and required running four days a week with gradually increasing distances that tested both my physical capacity and my mental resilience at different points throughout. What surprised me most about the process was how much the mental challenge turned out to matter compared to the physical one, as there were several points where the temptation to quit or significantly reduce the goal felt quite genuinely real and difficult to resist. Completing the event was one of the most satisfying and genuinely memorable physical achievements of my entire adult life, not primarily because of the time I ran but because of everything the preparation itself had demanded and revealed about my own genuine capacity and character.</t>
  </si>
  <si>
    <t>I was following quite a structured and disciplined daily routine during that period, which genuinely helped me stay focused and consistently productive throughout each week.</t>
  </si>
  <si>
    <t>The routine I was following during that period was considerably more structured and disciplined than my usual approach to daily life, driven by the specific goals I was working toward at the time. I had fixed times for exercise, focused work, meals, and sleep, which created a helpful and reassuring framework that reduced the number of daily decisions I needed to make about how to spend my time. Looking back, that level of structure was genuinely beneficial for what I was trying to accomplish, even if it felt quite rigid and demanding at the time I was living it day to day.</t>
  </si>
  <si>
    <t>The routine I was following during that period was one of the most deliberately structured and carefully managed I have ever tried to consistently maintain in my life. My days were organised around a fixed early wake up, morning exercise, a period of focused and uninterrupted work before any meetings or communication began, and an early and consistent bedtime that I protected quite firmly regardless of social pressure or tempting alternatives. I was also paying much more careful attention than usual to what I was eating and how much genuine rest I was actually getting between demanding sessions and busy days. That period taught me a great deal about the real and meaningful difference that genuine structure can make to both productivity and personal wellbeing when it is thoughtfully designed and consistently applied rather than abandoned at the first sign of inconvenience or social disruption.</t>
  </si>
  <si>
    <t>During that period, I was practicing photography quite intensively, which completely and wonderfully changed how I noticed and appreciated everyday things around me.</t>
  </si>
  <si>
    <t>The hobby I was most actively practicing during that period was photography, which I had recently taken up and found genuinely absorbing and deeply rewarding in unexpected ways. I was spending most free evenings and weekend mornings exploring different locations with my camera, experimenting with light and composition in ways that felt genuinely creative and exciting. It was one of those hobbies that quietly transforms how you see the world around you rather than just filling available time in a pleasant way.</t>
  </si>
  <si>
    <t>During that particular period, I was deeply immersed in learning photography, which had started as a casual interest but had gradually become something I was taking increasingly seriously and investing real time and effort into developing properly. I was reading about technique, watching tutorials, and most importantly going out regularly to practice what I was learning in real and varied conditions rather than just absorbing information passively without applying it. What I found most genuinely rewarding about it was the way it changed my relationship with ordinary surroundings, as places and moments I would previously have walked past without a second glance suddenly became worth slowing down and carefully observing. It was also a wonderful counterbalance to the more analytical and verbal demands of my work, offering a completely different kind of creative engagement that felt genuinely refreshing and restorative.</t>
  </si>
  <si>
    <t>During that period, I was studying data analysis and statistics, both of which turned out far more practically useful than I had initially expected them to be.</t>
  </si>
  <si>
    <t>The subjects I was focusing on during that period were closely related to my professional development goals at the time, primarily data analysis, research methods, and some foundational programming concepts. It was a challenging but genuinely rewarding combination, as each subject complemented and reinforced the others in ways that made the overall learning experience feel coherent and genuinely meaningful. I was studying mostly in the evenings and at weekends, which required real discipline but produced skills I still draw on regularly in my work today.</t>
  </si>
  <si>
    <t>During that period I was studying a combination of subjects that felt quite demanding individually and even more so taken together, but that I recognised were genuinely important for where I wanted my career to develop and go next. The core focus was on data analysis and quantitative research methods, which required building mathematical understanding I had not seriously engaged with since university many years earlier. Alongside that, I was also studying programming fundamentals, specifically to be able to work with data more effectively and independently rather than always relying on others with more technical backgrounds. The combination was genuinely humbling at times, as returning to being a real beginner in multiple demanding areas simultaneously required a kind of patience and tolerance for confusion that I had to actively and deliberately cultivate rather than finding it came naturally to me at all.</t>
  </si>
  <si>
    <t>I was studying mostly in the evenings and early mornings during that period, fitting it carefully around my existing full time work commitments.</t>
  </si>
  <si>
    <t>During that phase, I was studying in whatever time I could reliably carve out around my regular work and personal commitments, which meant early mornings before work and weekend afternoons primarily. I found that morning sessions were considerably more productive for demanding conceptual material, while evenings were better suited to review and consolidation of things I had already encountered. That pattern took some time to discover but made a real and noticeable difference to how effectively I was actually absorbing and retaining what I was learning.</t>
  </si>
  <si>
    <t>The studying I was doing during that period happened in snatched and carefully protected pockets of time throughout the week rather than in long and uninterrupted blocks, which presented its own particular set of challenges and required very deliberate planning to manage effectively. I would typically study for ninety minutes before work on weekday mornings, when my mind was fresh and genuinely receptive before the demands of the day had accumulated and taken over. Weekend mornings were reserved for longer and more ambitious sessions where I could tackle genuinely new and challenging material that required sustained concentration and real mental energy to engage with properly. The evenings I mostly reserved for lighter review and practice rather than genuinely new learning, having discovered through trial and error that my capacity to absorb genuinely new and demanding concepts declined significantly after a full day of professional work and other demands on my attention and energy.</t>
  </si>
  <si>
    <t>At that time, I was studying English intensively, as I wanted to genuinely improve my speaking and writing skills for both professional and personal reasons.</t>
  </si>
  <si>
    <t>During that particular period, I was focusing intensively on English language skills, particularly speaking fluency and written expression, which felt genuinely important for the professional opportunities I was pursuing at the time. I was working with structured materials, practicing speaking as often as I possibly could, and reading extensively in English to build both vocabulary and a more natural feel for the language. The progress felt slow at times but was genuinely cumulative in ways that became increasingly visible and motivating over several months of consistent effort.</t>
  </si>
  <si>
    <t>At that time I was studying English with a level of seriousness and sustained commitment that I had not previously applied to language learning in quite the same way. The motivation was partly professional, as I could see clearly that stronger English skills would open opportunities that were not otherwise available or accessible to me, and partly genuinely personal, as I wanted to be able to engage with a much wider range of content, ideas, and people than my existing level allowed comfortably. My approach combined formal study of grammar and vocabulary with extensive reading, regular speaking practice with native speakers whenever I could arrange it, and deliberate use of English in everyday contexts that I could easily have navigated in my first language instead. The combination was demanding but genuinely effective in ways that purely passive or classroom based approaches to language learning had never quite managed to be for me in the past.</t>
  </si>
  <si>
    <t>I had been studying mostly at home and occasionally at the library, as I genuinely needed quiet and consistently distraction free environments to concentrate properly.</t>
  </si>
  <si>
    <t>Before the exams, I had been studying primarily at home in a dedicated space I had set up specifically for focused work, which I found considerably more effective than studying in noisier public environments. I occasionally used the local library when I needed a change of scene or a stricter sense of external accountability to stay genuinely on task. The consistency of environment actually helped quite a lot, as my brain quickly associated that specific space with focused and purposeful work rather than relaxation or distraction.</t>
  </si>
  <si>
    <t>In the months leading up to the exams, I had established a fairly consistent and deliberate pattern of studying locations that I felt genuinely supported my concentration and overall effectiveness. Home was my primary base, in a corner of the flat I had specifically set up for studying with minimal visual clutter and distractions carefully managed and reduced as much as possible. I visited the library regularly when I needed the particular quality of focused silence and external accountability that a public study environment provides in a way that working alone at home sometimes struggles to replicate reliably. I had also experimented with coffee shops during that period but found them consistently too stimulating and unpredictably noisy for the kind of deep and sustained concentration that serious exam preparation genuinely required from me.</t>
  </si>
  <si>
    <t>Yes, I was living abroad during that period, which was both genuinely exciting and considerably more challenging than I had initially and naively anticipated.</t>
  </si>
  <si>
    <t>I was indeed living abroad at that time, in a city that was simultaneously fascinating and quite demanding to navigate as a genuine newcomer without an established social network or deep local knowledge. The professional reasons for being there were clear, but the personal adjustment took considerably longer than I had optimistically expected it would before I actually arrived and started living the reality of it. Looking back, it was one of the most genuinely formative periods of my entire adult life, even though it did not always feel that way in the moment when I was actually living through it day by day.</t>
  </si>
  <si>
    <t>Yes, I was living abroad during that period, having moved there for a professional opportunity that seemed genuinely too good and too interesting to turn down despite the significant personal disruption involved in relocating. The first several months were genuinely challenging in ways I had intellectually anticipated but emotionally underestimated before actually being in the situation myself. Building a new daily life from scratch in a place where I knew almost nobody and where the cultural and social norms were meaningfully different from everything I had grown up with required a sustained effort and genuine resilience that tested me in unexpected and ultimately very valuable ways. By the time I had been there for about a year, I had genuinely found my footing and was starting to appreciate the experience for the real gifts it was quietly offering, gifts of perspective, adaptability, and a much richer understanding of how different people organise their lives and what they genuinely value and prioritise.</t>
  </si>
  <si>
    <t>Yes, I was cooking dinner at home most evenings during that period, which I found genuinely grounding and pleasantly meditative after long and demanding days at work.</t>
  </si>
  <si>
    <t>Cooking dinner was something I was doing consistently at home during that period, and it actually became one of the things I valued most about my daily routine at the time. After demanding and mentally tiring days, the process of preparing a proper meal gave me something completely different to focus on in a way that felt genuinely restorative rather than like another task to get through. It also gave the evenings a satisfying and anchoring structure that I found surprisingly helpful for overall wellbeing and a genuine sense of daily routine and continuity.</t>
  </si>
  <si>
    <t>During that period, cooking dinner at home had become a genuinely important and much appreciated part of my daily routine in ways that went beyond simply feeding myself adequately. After long and mentally demanding days, the physical and sensory engagement of cooking provided a genuinely helpful transition between the focused intensity of work and the rest and recovery the evening needed to offer. I was also making a deliberate effort to cook properly and thoughtfully rather than relying on easy and convenient options, which felt like a meaningful investment in my overall health and daily quality of life during what was otherwise a quite pressured and demanding time. The ritual of shopping for fresh ingredients, preparing them carefully, and sitting down to eat something I had genuinely made myself had a quiet and consistent restorative quality that I came to depend on and genuinely treasure throughout that entire period.</t>
  </si>
  <si>
    <t>During that period I was living in a genuinely vibrant and exciting city that completely transformed my perspective on urban life and what it can offer.</t>
  </si>
  <si>
    <t>At that time I was living in a large and genuinely fascinating city that offered an extraordinary range of cultural experiences, professional opportunities, and daily stimulation that smaller places simply cannot match in the same way. It was not without its real challenges, particularly the cost of living and the pace and noise that never quite fully disappeared even in quieter neighbourhoods and moments. But overall the experience of living there shaped me in ways I am genuinely and deeply grateful for, even when it was demanding and difficult.</t>
  </si>
  <si>
    <t>During that particular period I was living in a major city that I had chosen deliberately for the professional opportunities and cultural richness it offered, both of which delivered on their promise in genuinely rewarding ways that exceeded my initial expectations. The city was stimulating and endlessly interesting in the way only truly large and diverse urban environments manage to be, with constant new things to discover, explore, and engage with around every corner and in every neighbourhood. The challenges were equally real, as the cost of housing was genuinely significant, the pace was relentless in ways that required active management and deliberate protection of recovery time, and building genuine community rather than just a wide network of pleasant acquaintances took considerably more time and effort than I had anticipated. Looking back, living there during that specific period was exactly the right experience at exactly the right time in my life, and I would not change it even knowing all the difficulties it involved in advance.</t>
  </si>
  <si>
    <t>During that period I was staying in a small but perfectly adequate flat that I had rented quickly and that served all my essential practical needs well enough.</t>
  </si>
  <si>
    <t>During that time I was staying in rented accommodation that was modest but comfortable enough for my needs and well located for getting to work and navigating the city easily. I had moved in relatively quickly without much time to be particularly selective, which meant it was not ideal in every respect but worked perfectly well as a base while I got properly established. After a few months I had made it feel genuinely like home through the accumulated presence of my own things and the establishment of familiar daily routines centred around it.</t>
  </si>
  <si>
    <t>During that period I was staying in a small rented flat that I had found under some time pressure and which turned out to be more suitable than I had initially feared given the circumstances under which I found and chose it. It was compact but well designed enough that the limited space never felt genuinely oppressive or uncomfortable, and the location proved much more convenient than I had appreciated when first viewing it. What made it feel genuinely like home over time was less the physical space itself, which was objectively quite modest and unremarkable, and more the life I gradually built around and within it, the regular cooking, the books accumulated on every available surface, and the small but genuine social life that eventually began to develop around having somewhere that was genuinely my own to invite people to and share with them.</t>
  </si>
  <si>
    <t>During that period I was facing a genuinely difficult combination of professional pressure and personal uncertainty that tested my resilience in ways I had not previously experienced.</t>
  </si>
  <si>
    <t>The challenges I was facing during that particular period were significant enough that I found myself drawing on personal resources I had not previously needed to access in quite the same way or to quite the same degree. Professionally, I was navigating a demanding role with high expectations and a steep learning curve that left little genuine margin for error or comfortable consolidation. Personally, I was also managing some important relationships under strain, which added an emotional dimension to an already demanding situation that required real and consistent attention and care.</t>
  </si>
  <si>
    <t>Looking back at that period, the challenges I was facing were considerable enough that I am genuinely proud of how I managed to navigate them, even knowing that I made mistakes along the way and did not handle everything as well as I would have liked to or now know how to. The professional demands were the most immediately visible and pressing, as I was in a role that required capabilities I was still actively developing while simultaneously being expected to deliver meaningful results under real time pressure and with genuine external scrutiny. But the less visible personal challenges, around managing stress, maintaining important relationships despite limited time and energy, and keeping my own sense of perspective and purpose intact through a genuinely difficult stretch, were in some ways the more fundamentally important ones to get right. The experience taught me more about my own genuine resilience and real limitations than any easier period of my life had come close to doing.</t>
  </si>
  <si>
    <t>During that period I was seriously considering whether to stay in my current role or pursue a completely different and more aligned professional direction altogether.</t>
  </si>
  <si>
    <t>The decisions I was most seriously considering during that time were significant ones that I knew would have real and lasting consequences for the direction of my professional and personal life. I was weighing whether to commit more deeply to the path I was already on or make a more fundamental change toward something that felt more genuinely aligned with what I actually cared about and found meaningful. Those kinds of decisions are difficult precisely because there is rarely a clearly right answer and the uncertainty involved is genuinely unavoidable regardless of how much thought and analysis you apply to them.</t>
  </si>
  <si>
    <t>During that particular period I was wrestling with several interconnected decisions that all felt genuinely important and consequential in ways that made the uncertainty around them quite difficult and uncomfortable to sit with patiently. The central question was whether to continue developing expertise along my current professional path, where I had genuine momentum and established relationships, or to make a more fundamental shift toward an area I found considerably more intellectually engaging and personally meaningful despite the real career costs that change would involve. Alongside that central professional question, I was also thinking carefully about where I wanted to live long term and what kind of daily life I actually wanted to be building and working toward. What I eventually learned from that entire decision making process was that the discomfort of genuine uncertainty is not a problem to be eliminated as quickly as possible but an important signal worth sitting with carefully and honestly before committing to any direction that cannot easily be reversed.</t>
  </si>
  <si>
    <t>I was cooking most evenings during that period, as it became one of the most reliable and genuinely enjoyable parts of my daily routine throughout.</t>
  </si>
  <si>
    <t>Cooking was something I was doing consistently throughout that entire period, primarily in the evenings after work when it gave me a genuinely valuable opportunity to decompress and do something creative and tangible with my hands after long hours of mainly mental work. I was also cooking more ambitiously at weekends, when I had sufficient time to attempt more demanding recipes that required patience and sustained attention I simply could not spare on weekday evenings after everything else. That weekly rhythm of weekday practicality and weekend experimentation suited me very well and became something I genuinely looked forward to and valued.</t>
  </si>
  <si>
    <t>During that period, cooking had become a genuinely central and deeply valued part of my daily routine in ways that went well beyond its purely practical necessity of feeding myself adequately. I was cooking every evening without exception, having made a deliberate and conscious decision to treat proper home cooking as a non-negotiable priority rather than something I would do only when time and energy conveniently allowed. The evenings became structured around it in a way that gave them a satisfying and reassuring rhythm, with shopping, preparation, cooking, and eating providing a clear and enjoyable sequence that marked the transition from work to genuine rest more effectively than almost anything else I tried during that demanding period. At weekends I would cook something genuinely ambitious, often a dish requiring several hours of patient attention and multiple components, which felt less like an obligation and more like a genuine creative project I could fully lose myself in for an entire afternoon.</t>
  </si>
  <si>
    <t>I was making a fairly complex pasta dish when it happened, which meant I had to abandon it entirely halfway through and deal with what had just occurred.</t>
  </si>
  <si>
    <t>When it happened I was in the middle of preparing a slow cooked stew that had been simmering on the hob for nearly two hours and was finally approaching the point where it would be genuinely ready and at its best. The interruption meant I had to turn off the heat and leave it sitting there while I dealt with whatever had suddenly demanded my urgent attention, which was frustrating in a minor but very real way given how much time and care I had already invested in it. The stew survived the interruption adequately, though whether it was quite as good as it might have been had I been able to finish it properly without the disruption is something I am honestly not entirely sure about.</t>
  </si>
  <si>
    <t>When it happened I was in the middle of attempting a fairly ambitious recipe that required my genuine and sustained concentration, which made the interruption particularly poorly timed from a purely culinary perspective. I had been carefully caramelising onions for the better part of forty minutes, which is one of those cooking tasks that rewards real patience and consistent attention but punishes any serious lapse in focus or monitoring very quickly and unforgivingly. The moment I stepped away to deal with whatever had occurred, I could sense from the smell that things were not developing particularly well in the pan without my attention, and sure enough the onions had taken on more colour than was entirely ideal by the time I returned. It was a genuinely minor practical frustration in the context of whatever else was happening at that moment, but I remember it vividly because cooking well requires a particular quality of calm and present attention that sudden unexpected events are very effective at immediately and completely disrupting.</t>
  </si>
  <si>
    <t>Before moving abroad I had been living in my home city for most of my adult life, in a neighbourhood I knew extremely well and genuinely loved.</t>
  </si>
  <si>
    <t>Before the move abroad I had been living in the same city for several consecutive years, having settled there after university in a way that felt initially temporary but gradually became genuinely comfortable and rooted. I had built real friendships, established favourite places and familiar routines, and developed that particular kind of easy local knowledge that takes years to accumulate and is surprisingly difficult to leave behind without a real sense of genuine loss. Knowing that I was about to give all of that up made the decision to move considerably more emotionally complicated than it might otherwise have been had I been starting from somewhere less established and familiar.</t>
  </si>
  <si>
    <t>Before moving abroad I had been living in the same city for nearly a decade, having arrived there initially for work reasons and gradually put down roots that became far more substantial and meaningful than I had originally expected or planned for them to be. Over those years I had built a genuine life there in the fullest sense, with close friendships, deeply familiar neighbourhoods, beloved local routines and regular haunts, and a strong sense of belonging to a specific community and place that I genuinely valued and did not want to simply abandon. The decision to move abroad was therefore far more emotionally complicated than a straightforward professional calculation would suggest on the surface, as it required consciously choosing to dismantle something genuinely good and established in exchange for an opportunity that was compelling but whose actual value remained largely uncertain and unproven until I had actually lived it for a significant period of time.</t>
  </si>
  <si>
    <t>Before that period I had been cooking regularly at home in my flat, where I had gradually built up a properly equipped and genuinely functional kitchen setup.</t>
  </si>
  <si>
    <t>Before that particular period, my regular cooking had happened in the small but adequately equipped kitchen of my previous flat, where I had developed most of the basic habits and practical techniques that I was still relying on and building from. The kitchen was compact enough to require some creative thinking about storage and workflow, which I think actually improved my cooking efficiency in ways that a larger and more generously equipped space might not have done quite as effectively. It was there that I had developed the consistent habit of cooking from scratch most evenings, which carried directly and naturally into the period you are asking about.</t>
  </si>
  <si>
    <t>In the period before the one you are asking about, my regular cooking had been happening in a kitchen that I had genuinely grown to love despite its modest size and some practical limitations that required creative workarounds and careful organisation to manage effectively. I had been cooking there for several years and had developed a real physical and intuitive familiarity with the space, knowing exactly where everything was, understanding how the oven ran slightly hotter than indicated, and having worked out the most efficient sequences for preparing the dishes I made most regularly. That kind of deep familiarity with a cooking environment is something that builds very gradually and is genuinely underappreciated until you have to start over somewhere completely new and unfamiliar, which I eventually did when I moved and had to rebuild that comfortable spatial knowledge and intuitive ease from scratch all over again.</t>
  </si>
  <si>
    <t>I had been waiting for nearly an hour before they finally arrived, which was long enough to move through mild impatience into something closer to genuine resignation.</t>
  </si>
  <si>
    <t>By the time they finally arrived I had been waiting for well over forty five minutes, which was long enough to have completely exhausted my initial optimism about their likely punctuality and settled into a more realistic and philosophical acceptance of the situation. I had fortunately brought something to read, which meant the time was not entirely wasted, but I was genuinely relieved and quite glad when they eventually appeared. It was a good reminder of how important it is to always have something genuinely useful to do in situations where waiting for other people is a real and significant possibility.</t>
  </si>
  <si>
    <t>By the time they actually arrived, I had been waiting for what felt like considerably longer than the clock confirmed it to be, which is a reliable sign that genuine impatience had set in at some point during the wait. I had arrived on time and with reasonable confidence that they would do the same, which turned out to be an optimistic assumption that the situation did not ultimately justify or support. The first fifteen minutes or so I spent productively enough, checking messages and reviewing some notes I had brought with me for exactly this kind of contingency. After that the wait started to feel genuinely frustrating in a way that was difficult to entirely suppress or manage with complete equanimity, though I was careful to greet them warmly when they did arrive rather than making the delay the immediate and dominant subject of conversation between us.</t>
  </si>
  <si>
    <t>I was doing it at that particular time because it aligned perfectly with a specific goal I had set myself and the conditions were genuinely and unusually favourable for it.</t>
  </si>
  <si>
    <t>The timing of what I was doing during that period was not entirely coincidental but reflected a deliberate decision to take advantage of a particular window of opportunity that I recognised would not remain open indefinitely. I had been thinking about it for some time before actually committing and acting, and when the circumstances finally aligned well enough, I decided to move forward rather than continue waiting for even more ideal conditions that might never actually arrive. In retrospect the timing was genuinely good, even if it had felt somewhat uncertain and slightly premature in the moment of deciding.</t>
  </si>
  <si>
    <t>The reason I was doing it specifically at that time rather than earlier or later comes down to a combination of deliberate planning and genuinely favourable circumstances that I recognised and chose to act on rather than let pass. I had been preparing for it much longer than was immediately obvious from the outside, building the necessary skills, resources, and relationships gradually and quietly over an extended period before the moment felt right to actually commit and begin in earnest. When the opportunity finally presented itself in a sufficiently clear and accessible form, I had reached a point where I felt genuinely ready to engage with it seriously rather than merely interested in it in a vague and theoretical way. The timing also reflected a conscious decision to stop waiting for perfect conditions, which I had come to understand would never quite arrive in the idealised form I had been imagining, and instead begin with the genuinely good conditions that were actually available and present.</t>
  </si>
  <si>
    <t>During that period I was primarily using data analysis and project management software that had become completely essential to my daily professional work and output.</t>
  </si>
  <si>
    <t>The software I was using most heavily during that period reflected the specific demands of the project I was working on at the time, which required both careful data analysis and clear and effective communication of findings to people with very different technical backgrounds. I was spending most of my time in spreadsheet and data visualisation tools alongside the standard communication and collaboration platforms that most modern workplaces have come to rely on almost entirely. Learning to use some of those tools more deeply and effectively than before was itself a significant and genuinely valuable part of what that period taught me professionally.</t>
  </si>
  <si>
    <t>During that particular period, the software I was using most intensively reflected a combination of established professional tools I already knew well and newer platforms I was learning from scratch as the project demanded capabilities I had not previously needed to develop or access. The core of my workflow revolved around data analysis and visualisation tools that required a level of proficiency I had to build deliberately over the first weeks of the project before I could use them effectively and confidently enough to deliver the quality of work expected. Alongside those technical tools, I was also navigating several collaboration and project management platforms that the team relied on for coordination and communication, which added their own learning curve to an already demanding period. In retrospect, the enforced development of those technical skills during an intense and high pressure project was one of the most efficiently effective ways of learning I have encountered, even if it was also one of the more genuinely uncomfortable and demanding ones.</t>
  </si>
  <si>
    <t>I was traveling quite frequently during that period, often for work, which was both genuinely exciting and considerably more tiring than I had initially expected.</t>
  </si>
  <si>
    <t>During that phase of my life I was traveling regularly, roughly every few weeks for professional reasons, which gave me exposure to a remarkable range of places and people in a relatively compressed period of time. The travel itself was stimulating and often genuinely rewarding, but the cumulative fatigue of frequent trips, with all the disrupted routines, poor sleep, and constant adjustment they involve, became something I had to actively manage rather than simply enjoying without any real cost or consequence. It gave me a genuine appreciation for the value of stability and familiar routine that I had previously taken completely for granted.</t>
  </si>
  <si>
    <t>The period I was traveling most intensively stands out in my memory as genuinely exciting and genuinely exhausting in almost equal measure, which is probably an honest description of what sustained frequent travel actually feels like when you are living it rather than simply imagining it. I was moving between different cities and occasionally different countries every few weeks, which meant I was constantly navigating unfamiliar environments, adjusting to different time zones, and maintaining professional performance while managing the physical and cognitive demands that constant travel reliably imposes on anyone regardless of how experienced a traveler they are. The professional exposure and learning I gained during that period were genuinely extraordinary and would have been very difficult to acquire any other way in the same timeframe. But I also learned something important about myself, which is that I need a genuine and stable home base to function at my best over extended periods, and that the romance of constant travel is considerably more appealing in imagination than it consistently proves to be in prolonged practice.</t>
  </si>
  <si>
    <t>While traveling I was attending professional meetings and conferences, though I always tried hard to explore each city properly during whatever time remained available.</t>
  </si>
  <si>
    <t>During that period of frequent travel, my time was primarily consumed by professional commitments, but I made a deliberate and consistent effort to treat each destination as genuinely worth exploring rather than just a backdrop for work that happened to be taking place there. I developed a habit of researching each city before arriving so I could make the most of whatever free time presented itself, even when that free time amounted to only a single evening or one free morning between obligations. Those brief and imperfect explorations often produced the most memorable moments of the entire travel period.</t>
  </si>
  <si>
    <t>While I was traveling during that period, the primary purpose was always professional, but I had made a very deliberate personal commitment to engaging seriously with each place I visited rather than simply moving between airports, hotels, and meeting rooms without genuinely experiencing anything of the actual city or country I happened to be in. This meant researching each destination carefully in advance and identifying one or two things that felt genuinely worth prioritising regardless of how limited or uncertain the available time might be. Sometimes that meant a specific museum or neighbourhood I had specifically wanted to see for years. Sometimes it meant simply wandering without a fixed plan and paying genuine attention to whatever presented itself. I found that these brief and often imperfect encounters with places I was visiting primarily for professional reasons added an important and genuinely enriching dimension to what might otherwise have felt like an exhausting and ultimately rather soulless period of relentless movement and logistical management.</t>
  </si>
  <si>
    <t>Yes, I was working quite late last night, as there was a pressing deadline approaching that absolutely could not be pushed back or renegotiated at that point.</t>
  </si>
  <si>
    <t>I was indeed working late last night, though not entirely by choice and certainly not as a habit I am particularly proud of or want to sustain for any extended period. A deadline had crept up more quickly than I had properly anticipated, which meant the evening was consumed by catching up rather than the genuine rest and recovery it should have been. It served as a useful reminder of the importance of more realistic planning and earlier starts on demanding pieces of work that require significant time and sustained concentration.</t>
  </si>
  <si>
    <t>Working late last night was something I did out of genuine necessity rather than any particular enthusiasm for or commitment to it as a working approach, as I am generally quite strongly convinced that sustained late working is a sign of poor planning rather than admirable dedication. A project that I had been managing had reached a critical point where several things needed to be completed and properly integrated before a morning meeting, and it had become clear during the afternoon that the available time was not going to stretch far enough to get everything done within normal working hours. By the time I finished and closed everything down it was significantly later than I would have wanted, and I am paying for the shortened sleep today in the way that always makes me recommit to better planning and more realistic time management for the next genuinely demanding piece of work I take on.</t>
  </si>
  <si>
    <t>During that period I was working on a large research project that required synthesising a great deal of complex information into genuinely clear and actionable recommendations.</t>
  </si>
  <si>
    <t>The project I was most deeply involved with during that time was one of the more demanding and genuinely interesting pieces of work I had undertaken up to that point in my career. It required coordinating with a diverse range of stakeholders who had quite different and sometimes conflicting priorities, which added a significant interpersonal and diplomatic dimension to what was already a technically complex undertaking. The final output was something I felt genuinely proud of, not least because of how much I had learned and grown through the challenging process of completing it under real pressure.</t>
  </si>
  <si>
    <t>The project I was working on during that particular period was one that I found simultaneously one of the most professionally demanding and most genuinely interesting I had been involved with in my career to that point. It required building a comprehensive understanding of a complex system from scratch, consulting widely with people who had very different and sometimes quite strongly held perspectives on what the problem actually was and what an appropriate solution might look like, and then synthesising all of that genuinely diverse input into coherent recommendations that could actually be implemented in the real world rather than existing only as elegant theory. The intellectual challenge was real and consistently stimulating. The interpersonal challenge of managing different expectations and competing priorities across a large and diverse group of stakeholders was equally significant and in some ways even more demanding, as it required a kind of patient and consistent diplomatic intelligence that I was still actively developing and learning to apply more effectively throughout the entire project period.</t>
  </si>
  <si>
    <t>I was working very long hours during that particular period, typically starting early in the morning and rarely finishing before late in the evening most days.</t>
  </si>
  <si>
    <t>During that phase, my working hours were considerably longer and more demanding than I would have chosen under more comfortable circumstances or with better planning behind me. I was typically at my desk by eight in the morning and rarely finishing before seven or eight in the evening, with very little genuine boundary between work time and personal time during the most intense stretches of the project. It was sustainable only for a limited period, and I was genuinely relieved when the intensity finally subsided enough to allow a more reasonable and human working rhythm to return to my daily life.</t>
  </si>
  <si>
    <t>The working pattern I was following during that particular period was one of the most demanding I have ever maintained for any extended length of time, and looking back I am honestly not entirely sure it was either necessary or sustainable in the way I told myself it was at the time. I was starting work very early, often before seven in the morning to take advantage of the quiet and uninterrupted hours before the day's meetings and communications began to accumulate. I was then continuing well into the evenings most weekdays, and spending significant parts of weekends on the most complex and intellectually demanding parts of the work that simply could not be done effectively in the fragmented time available during a normal working day. The output I produced during that period was genuinely good, which I am proud of. But the personal cost in terms of rest, relationships, and overall wellbeing was real and significant, and it taught me lasting and important lessons about the genuine limits of sustainable intensity and the importance of building recovery into even the most demanding professional periods rather than treating it as an optional luxury I could simply defer indefinitely.</t>
  </si>
  <si>
    <t>At that time I was working on a comprehensive strategic review that genuinely required both deep analytical thinking and strong and clear written communication throughout.</t>
  </si>
  <si>
    <t>During that particular time I was working on a project that represented one of the more significant professional challenges I had faced up to that point in my career, involving the kind of ambiguity and genuine complexity that does not resolve neatly or quickly regardless of how much effort and intelligence you apply to it. The work required me to think carefully about problems I did not have obvious or ready made answers to, which was simultaneously uncomfortable and genuinely energising in a way that more routine work rarely manages to be. I came out of it with both better outputs and considerably more professional confidence than I had when I went in.</t>
  </si>
  <si>
    <t>The work I was doing at that time was genuinely some of the most intellectually demanding and personally challenging professional work of my career up to that point, which made it both quite difficult to live through day to day and retrospectively very valuable and formative in ways that became clearer with some distance and perspective. I was working on something that had no obvious existing template or established methodology I could simply adapt and apply, which meant a significant part of the work involved figuring out the right approach as I went rather than executing a predetermined and well established plan. That kind of open ended and genuinely exploratory professional challenge is something I now actively seek out and value highly, having learned through that experience that it is where the most genuine professional growth and development tends to happen most reliably and most rapidly, even when it feels uncomfortable and uncertain in the daily living of it.</t>
  </si>
  <si>
    <t>I was working on improving our team's overall workflow and collaboration processes, which turned out to be considerably more complex and nuanced than it had initially appeared.</t>
  </si>
  <si>
    <t>The work I was involved in at that time centred on developing a new approach to a problem that our team had been struggling with for quite some time without finding a genuinely satisfactory solution. It required bringing together different kinds of expertise and genuinely different perspectives in a way that was sometimes collaborative and productive and sometimes genuinely frustrating when people's differing mental models of the problem made productive communication difficult. The eventual outcome was something I was proud of and that made a real and measurable difference to how effectively the team was able to work together going forward.</t>
  </si>
  <si>
    <t>What I was working on at that time was a project that had grown considerably in scope and complexity from its original conception by the point I became seriously and deeply involved with it. What had started as a relatively modest and clearly defined piece of work had evolved into something considerably more ambitious that touched on fundamental questions about how the organisation functioned and what it was genuinely trying to achieve, questions that proved much more contentious and genuinely difficult to resolve than the original narrow scope had suggested would be necessary. Navigating that expanded scope while managing the expectations of people who had commissioned something rather simpler than what we were now discovering was actually needed required constant and careful communication and a genuine willingness to have difficult conversations early rather than allowing misalignments to accumulate and compound into much larger and harder to manage problems later on in the process.</t>
  </si>
  <si>
    <t>Before changing jobs I had been working at a mid sized company for several years, where I had learned a great deal and built genuinely strong and lasting professional relationships.</t>
  </si>
  <si>
    <t>Before making the job change I had been at my previous organisation for long enough to have developed deep familiarity with its culture, processes, and people in ways that were genuinely valuable but that I could also sense were starting to limit my professional development and the quality of challenges I was encountering and learning from. I had learned an enormous amount there and was genuinely grateful for everything the role had given me. But I had also reached a point where staying felt more comfortable than genuinely right for where I wanted to go and who I wanted to become professionally.</t>
  </si>
  <si>
    <t>Before changing jobs I had spent several years at an organisation that I have genuinely complicated and mixed feelings about in retrospect, as it was both a place where I learned and developed enormously and also one where I eventually came to recognise some important misalignments between its culture and values and my own that made staying increasingly difficult to justify to myself honestly. The professional development I experienced there was real and significant, and several of the relationships I built during that time remain among the most important and valued of my entire career. But the environment had aspects that were genuinely challenging to navigate in ways that were ultimately more draining than developmental, and recognising the difference between productive challenge and simply unnecessary difficulty was itself one of the more important things that period of my professional life taught me about what I genuinely needed and valued in a working environment going forward.</t>
  </si>
  <si>
    <t>Growing up I played football, tennis, and swimming, though football was always by far my greatest passion and the one I invested most seriously in.</t>
  </si>
  <si>
    <t>When I was growing up I was involved in several different sports across different stages of childhood and adolescence, which I think gave me a genuinely broad and useful physical foundation that has served me well throughout adult life. Football was the constant and central one from a very early age, but I also played tennis regularly for several years and was part of a swimming club that taught me a great deal about discipline and structured training. Each sport taught me something distinctly different about competition, teamwork, and the relationship between consistent effort and gradual improvement over time.</t>
  </si>
  <si>
    <t>The sports I played while growing up traced a fairly typical trajectory from trying many different things in early childhood to gradually developing a genuine focus and deeper commitment to a smaller number of activities as I got older and better understood what I truly loved and what I was reasonably good at. Football was the constant thread throughout my entire childhood and adolescence, occupying far more of my time and emotional investment than anything else and forming a central part of my social identity during those years. Swimming was something I was involved with for several years through a local club, which gave me a genuinely rigorous introduction to structured athletic training that was quite different from the more informal and enjoyment focused relationship I had with football at the same age. I also played tennis for a period, though with considerably less seriousness or success than I brought to the other two, and the experience taught me something valuable about having realistic and honest expectations of yourself as an athlete in activities where natural aptitude matters quite significantly alongside hard work and dedicated practice.</t>
  </si>
  <si>
    <t>In childhood I played football mainly and absolutely loved it, as it gave me genuine joy, good friends, and my first real experience of meaningful team belonging.</t>
  </si>
  <si>
    <t>Football dominated my childhood sporting life in a way that shaped my entire experience of physical activity, competition, and social belonging during those formative years in genuinely deep and lasting ways. I played in organised teams from quite a young age, which taught me about commitment to training, managing the emotional demands of competition, and the particular satisfaction that comes from achieving something genuinely difficult together as a group rather than individually. I also dabbled in other sports, cricket and basketball among them, but none of them captured my imagination or demanded my loyalty in anything like the same way or to the same degree.</t>
  </si>
  <si>
    <t>Childhood sport for me was almost entirely synonymous with football for the better part of a decade, though I did explore various other activities at different points that left their own smaller but still meaningful marks on how I understand physical activity and competition. Football was central because it was what my friends played, what the culture around me celebrated most enthusiastically, and what I genuinely loved rather than simply participated in out of obligation or parental expectation. I played in organised youth teams from around seven years old, and those early experiences of regular training, team dynamics, competitive matches, and the emotional intensity that comes with genuinely caring about results introduced me to qualities like resilience, collective responsibility, and performing under real pressure in ways that no classroom environment was ever going to replicate or provide in quite the same direct and visceral way.</t>
  </si>
  <si>
    <t>Yes, last year was actually one of my most consistent periods of regular exercise in recent memory, which made a genuinely noticeable difference to my overall daily wellbeing.</t>
  </si>
  <si>
    <t>Last year I was exercising more consistently than I had in several years, having made it a genuine and serious priority rather than something I would do when other things did not get in the way first. I built up a routine of running three times a week alongside some strength training that I maintained for the better part of the year with only occasional and short interruptions. The difference it made to my energy levels, mood, and overall sense of physical capability was real and significant enough that it has reinforced my commitment to maintaining that consistency going forward into this year as well.</t>
  </si>
  <si>
    <t>Looking back at last year, my exercise habits were genuinely some of the most consistent and deliberately maintained I have managed to sustain over an extended period in recent years, which I feel quietly proud of and genuinely grateful for having prioritised even when it was not always convenient or easy to do so. I had made a very deliberate decision at the beginning of the year to treat regular movement as a non-negotiable commitment rather than something I would fit in around other priorities when time and energy conveniently allowed, which had been my previous and clearly inadequate approach. That mindset shift made a real and tangible difference to how consistently I actually showed up for planned sessions even when motivation was low or other demands were competing for the same time. By the end of the year I had accumulated a level of baseline fitness that made everything else in my life measurably and noticeably better, from sleep quality and daily energy to stress management and genuine mental clarity throughout the working day.</t>
  </si>
  <si>
    <t>Reasonably so, yes, though I would be the first to admit there was still significant and meaningful room for genuine improvement in several important areas.</t>
  </si>
  <si>
    <t>During that period I was following a healthier routine than I had in previous years, having made some deliberate and sustained changes to my sleep, diet, and exercise habits that were beginning to compound positively in genuinely noticeable and encouraging ways. I was not perfect about it by any means, as there were regular lapses and periods where other pressures took precedence temporarily. But the overall direction was genuinely positive and the improvements I experienced in energy and mood were real enough to reinforce the commitment and make returning to healthier habits after any lapse feel genuinely worthwhile and motivated.</t>
  </si>
  <si>
    <t>Whether I was following a healthy routine at that time is something I can answer honestly with a qualified yes that acknowledges both genuine progress and persistent areas of weakness and inconsistency that I was still working to address. The genuinely positive aspects of my routine during that period included consistent early mornings, regular exercise most weekdays, and considerably better sleep habits than I had maintained in the preceding years. Where I was still falling significantly short was around diet, which remained more variable and convenience driven than I knew it should be, and around deliberate recovery and genuine downtime, which I consistently undervalued and underprioritised relative to productive activity of various kinds. The period was therefore characterised by real and meaningful improvement alongside honest acknowledgment that healthy living is genuinely a continuous and evolving practice rather than something you either achieve completely or fail at entirely, and that partial progress in the right direction is genuinely worth something even when it falls short of a fully ideal picture.</t>
  </si>
  <si>
    <t>During that period I was primarily running and doing bodyweight strength exercises, both of which I found genuinely sustainable and deeply enjoyable over time.</t>
  </si>
  <si>
    <t>The exercise routine I was following during that period was built around running three or four times a week as the central and most consistent element, supplemented by strength training sessions using mostly bodyweight exercises that I could do at home without needing any specialist equipment or gym membership. I had deliberately chosen activities that required minimal logistical barriers to actually doing them, having learned from previous failed exercise routines that complexity and inconvenience are among the most reliable predictors of eventual abandonment regardless of initial motivation and good intentions.</t>
  </si>
  <si>
    <t>During that particular period my exercise was centred on a combination of running and functional strength training that I had arrived at through considerable trial and error over the preceding couple of years. Running had become the cornerstone of my routine because it was accessible, required no special equipment beyond decent shoes, and delivered consistent and reliable mood benefits that made it genuinely self reinforcing rather than something requiring continuous willpower and motivation to maintain. The strength work I was doing alongside it was fairly basic and focused on compound movements, press ups, pull ups, squats, and lunges, done in short but focused sessions that complemented rather than competed with the running days. What I valued most about that particular combination was how sustainable it felt compared to previous exercise regimes I had attempted, as both activities were genuinely enjoyable rather than merely tolerated as necessary discomforts on the way to some more desirable outcome.</t>
  </si>
  <si>
    <t>Honestly, not particularly consistently, which is partly why the improvement during that period felt so genuinely significant and meaningfully rewarding to me personally.</t>
  </si>
  <si>
    <t>Before that point my exercise habits had been considerably less consistent and reliable than I would have liked them to be, characterised by enthusiastic starts followed by gradual and eventually complete fade outs that I had repeated often enough to recognise as a genuine pattern worth addressing at its root rather than simply trying again with slightly more determination each time. The change that made the real and lasting difference was not more motivation but a fundamental rethink of how I was approaching the habit itself and what was actually causing the repeated collapses rather than blaming myself for insufficient willpower.</t>
  </si>
  <si>
    <t>If I am genuinely honest about my exercise history before that particular turning point, it was characterised by a frustratingly familiar cycle of enthusiastic commitment followed by gradual erosion and eventual abandonment that I had repeated multiple times across the preceding years without ever quite understanding what was driving the pattern or how to break it effectively and lastingly. I would begin a new regime with real and genuine enthusiasm, maintain it reasonably well for several weeks or a couple of months, and then find that the combination of a slightly busier period at work, a minor physical setback, or simply a run of unmotivated mornings was enough to break the streak in ways that proved surprisingly difficult to recover from and restart. What I eventually understood was that I had been treating exercise primarily as a willpower challenge rather than a design challenge, and that building genuine consistency required changing my environment and reducing friction rather than simply trying to feel more motivated on any given day when the established habit was not yet strong enough to carry me through resistance on its own.</t>
  </si>
  <si>
    <t>Not particularly, if I am being completely honest, as convenience had consistently taken priority over genuine nutritional quality in my eating habits for quite some time.</t>
  </si>
  <si>
    <t>Before that particular period, my diet had been reasonably adequate but far from genuinely healthy in any consistent or deliberate way, largely driven by convenience and habit rather than any real nutritional thinking or consistent intention. I ate reasonably enough to function well and maintain reasonable energy, but I was not making genuinely thoughtful choices about what I was putting into my body or paying serious attention to how different eating patterns actually affected how I felt and functioned from day to day. The shift toward more deliberate and nutritionally considered eating was one that happened gradually rather than all at once, driven by a growing and genuine curiosity about the relationship between food and how I felt rather than any particular external pressure or specific health concern.</t>
  </si>
  <si>
    <t>Honestly assessing my diet before that period requires acknowledging that it was considerably more inconsistent and convenience driven than I would have liked it to be if I had been applying the same level of thoughtfulness to eating that I tried to bring to other areas of my life that I cared about and invested in seriously. I was not eating badly enough to feel genuinely unwell, but I was eating in a way that reflected inertia and convenience rather than any real understanding of or genuine care about what I was consuming and how it was affecting my daily energy, mood, and longer term health. The meals I prepared at home tended to be reasonably balanced, but they were a minority of what I actually ate across any given week, with work lunches, frequent convenience meals, and a general lack of meal planning meaning that the average quality of my actual diet was considerably lower than my home cooking habits alone would suggest. The shift that eventually happened came from genuinely engaging with how much better I felt when I ate well consistently compared to how I felt when I relied predominantly on convenience and habit, which turned out to be a considerably more powerful motivation than abstract knowledge about nutrition had ever managed to be on its own.</t>
  </si>
  <si>
    <t>During that period I had been exercising regularly, sleeping more consistently, and making genuinely more thoughtful choices about what I was eating every day.</t>
  </si>
  <si>
    <t>The health improvements I had been working on during that period were across multiple dimensions simultaneously rather than focused narrowly on just one area, which I had come to believe was a more effective and sustainable approach than trying to radically change everything all at once in ways that rarely stick for very long. I had been building a more consistent exercise routine, paying more serious attention to sleep quality and duration, and gradually improving the average quality of my diet through small and incremental changes rather than dramatic and unsustainable overhauls. The cumulative effect of those parallel improvements was considerably greater than any single change would have produced on its own.</t>
  </si>
  <si>
    <t>The health improvements I had been working on during that period reflected a fairly comprehensive rethink of how I was approaching my own physical and mental wellbeing, driven by a genuine recognition that the habits I had been carrying for several years were not serving me as well as they could and should be if I was serious about functioning at my best over the long term rather than just managing adequately in the short term. On the exercise front, I had built a consistent routine for the first time in years, centred on running and some strength work done regularly enough that it had started to feel like a natural and integral part of my week rather than an optional extra competed away by other demands. Sleep had received similar deliberate attention, with earlier and more consistent bedtimes and a genuine effort to reduce the screen time and stimulation in the hour before sleep that had previously been undermining my sleep quality in ways I had not properly acknowledged or addressed. Diet was the area where progress had been slowest and most uneven, but even there I had made real and meaningful improvements through meal planning, cooking at home more consistently, and reducing my reliance on convenient but nutritionally poor options that had previously filled too large a proportion of what I actually ate across a typical week.</t>
  </si>
  <si>
    <t>Yes, I had been studying English seriously for about two years before the move, which gave me a genuinely solid foundation to build on from the very beginning.</t>
  </si>
  <si>
    <t>I had been studying English for several years before moving abroad, with varying degrees of intensity and seriousness across that period depending on what else was competing for my time and attention. The preparation accelerated considerably in the final year or so before the move, when the practical necessity of actually communicating effectively in English every day became suddenly very real and immediate rather than abstract and comfortably distant. That shift in urgency genuinely changed the quality and consistency of my preparation in ways that steady background study over years had never quite managed to produce on its own.</t>
  </si>
  <si>
    <t>My English study before moving abroad had a somewhat uneven history that I think is fairly typical of language learners who are preparing for a future need rather than responding to an immediate and pressing daily requirement. I had been studying in a formal sense for several years, attending classes periodically and working through various materials and resources with varying levels of consistency and genuine engagement. The honest truth is that my preparation was considerably more theoretical than genuinely practical for much of that period, focused more on grammar rules and vocabulary acquisition than on the actual experience of speaking and listening in real time conversations under real communicative pressure. It was only in the final months before the move, when I forced myself to seek out genuine conversation practice as regularly as possible rather than remaining comfortably within the safer confines of structured study, that my actual communicative ability started developing at a pace that felt genuinely meaningful and directly relevant to what I was about to need from the language every single day of my life abroad.</t>
  </si>
  <si>
    <t>During that period my free time had been consumed mainly by reading, exercising, and catching up with close friends whenever our schedules could reasonably align.</t>
  </si>
  <si>
    <t>The free time I had during that period was more limited than I would have liked, but what I did have I was trying to spend on activities that genuinely recharged and restored me rather than simply filling available hours with things that felt productive or socially expected. Reading featured heavily, as it always does when I have genuine unstructured time to enjoy, alongside running and occasional cooking projects that were more ambitious and enjoyable than my weekday cooking tended to be. I was also making a conscious effort to invest more time in close friendships that had been receiving insufficient attention during the more demanding professional periods that had preceded it.</t>
  </si>
  <si>
    <t>Looking back at what I was spending my free time on during that particular period, it reflects both the genuine priorities I held at the time and the very real constraints on available hours that shaped what was actually possible rather than merely desirable. Reading was the constant, as it always seems to be regardless of what else is competing for time and attention, providing a form of genuine mental engagement and restoration that nothing else in my life quite replicates in the same way. Exercise had become a more consistent and reliable presence than it had been in earlier periods, and the free time I spent on it felt like an investment in my general functioning rather than simply a pleasant leisure activity. The most meaningful free time during that period was probably the unhurried time spent with close friends, which had been squeezed too tightly by professional demands and which I was trying actively to reclaim and protect from further erosion by competing obligations that were always present and always willing to expand if given the opportunity.</t>
  </si>
  <si>
    <t>Yes, I had been living abroad for nearly three years before finally deciding the time had come to return home and settle back into familiar surroundings.</t>
  </si>
  <si>
    <t>I had been living abroad for a substantial period before returning home, long enough that the experience had fundamentally and permanently changed how I understood both the place I had been living and the place I was returning to. The decision to go back was not primarily about dissatisfaction with life abroad but about a genuine recognition that there were things at home, relationships, community, and a particular quality of belonging and rootedness, that I genuinely missed and that the experience abroad had made me value considerably more clearly and honestly than I had before leaving. The return itself was more complicated than I had anticipated, as home had also changed while I was away, and so had I.</t>
  </si>
  <si>
    <t>I had been living abroad for just under three years before returning home, a period long enough that the experience had profoundly shaped my understanding of myself, of the place I had been living, and of what home actually meant to me beyond simply the familiar and comfortable surroundings where I had grown up and spent most of my life before leaving. The decision to return was genuinely difficult in ways I had not anticipated when I first contemplated it, as I had built a real life abroad with its own friendships, routines, and meaningful attachments that were not easily or painlessly left behind regardless of how much I genuinely missed what I was returning to. What I brought back with me was not just memories and acquired language skills but a genuinely different and more complex understanding of culture, perspective, and the particular ways that living in a different society shapes your assumptions and values in ways you only fully recognise when you return to your original context and notice how differently you now see and interpret things that previously felt entirely obvious, natural, and beyond question.</t>
  </si>
  <si>
    <t>Honestly, not particularly, as cooking at home had not really been a genuine priority or consistent habit before I started living completely independently and alone.</t>
  </si>
  <si>
    <t>Before moving out I had cooked at home only occasionally and without any real consistency or genuine sense of ownership over the process, as living with family meant that meals were largely taken care of by others in ways that did not require or encourage me to develop any serious cooking capability of my own. The transition to full independence was therefore something of a steep and immediate learning curve in the kitchen, as I discovered fairly quickly that the gap between my confidence and my actual ability was rather larger than I had naively assumed it would be going in.</t>
  </si>
  <si>
    <t>If I am honest about my cooking habits before moving out and living independently for the first time, they were minimal at best and essentially nonexistent in any meaningful sense of regularly preparing complete meals from scratch with real competence and genuine intention. Living at home had meant that cooking was something that happened around me rather than something I was genuinely responsible for or particularly engaged with, and I had absorbed certain basic skills and observations by simple proximity without ever really having to develop them into any coherent or reliable practical capability. The shock of suddenly needing to feed myself properly every day without the safety net of someone more experienced taking care of the fundamentals was considerable and initially genuinely humbling, producing a rapid and somewhat urgent education in basic cookery that more gradual and comfortable circumstances would probably never have compelled me to acquire with quite the same speed or genuine necessity.</t>
  </si>
  <si>
    <t>More than I would have liked, honestly, as it took me longer than I would prefer to admit to establish the healthier limits that I now maintain much more consistently.</t>
  </si>
  <si>
    <t>Last year my social media use was heavier than I would now consider ideal or genuinely healthy, though it was already less than it had been in previous years as I had been gradually and deliberately working to reduce it across an extended period. The challenge was less about dramatic overconsumption and more about the habitual and almost reflexive checking that had become embedded in my daily routines in ways that required consistent and deliberate effort to interrupt and eventually reshape into something more intentional and genuinely controlled.</t>
  </si>
  <si>
    <t>My social media use last year was something I was actively trying to manage and reduce rather than simply accepting as a given or a fixed feature of how I spent my time and attention each day. I had reached a point of genuine honesty with myself about how the platforms I was using were affecting my mood, focus, and overall sense of how I wanted to be spending my available mental energy during what is genuinely limited and precious time. The efforts I was making to reduce use were not entirely successful throughout the year, as there were periods where I slipped back into more habitual and less intentional patterns under the influence of boredom, stress, or simple inertia. But the overall trajectory across the year was meaningfully positive, and by the end of the year I had established habits and environmental adjustments around my phone and social media use that were producing a noticeably better and more comfortable relationship with the technology than anything I had managed to maintain in previous years.</t>
  </si>
  <si>
    <t>Yes, genuinely too heavily for my own good, which is precisely why I eventually decided to make a serious and deliberate change to my habits around it.</t>
  </si>
  <si>
    <t>Before the change, my social media use had been considerably heavier than was genuinely serving me well in any meaningful way, a fact I had been aware of for some time before actually doing anything substantial about it. I was spending more time scrolling than I ever would have consciously chosen or endorsed if asked to make the decision with full attention and genuine reflection, which is a fairly reliable sign that habitual behaviour has decoupled itself from genuine preference and intentional choice in a way worth examining and addressing seriously.</t>
  </si>
  <si>
    <t>The honest answer about my social media use before that period is that it had been excessive in ways I was partly aware of but had not yet translated into sufficiently sustained action to meaningfully change. I was spending significant amounts of time across several platforms in patterns that were clearly more habitual and compulsive than genuinely chosen or enjoyable, often ending sessions feeling vaguely worse rather than better than when I had started them, which is about as clear a signal as any that something genuinely worth addressing is happening. The awareness had been growing for some time before I finally made changes that were substantial and structural enough to actually produce lasting results rather than temporary improvements followed by inevitable reversion. What eventually made the difference was not greater willpower or more genuine resolution but changing the environmental conditions that made heavy use the path of least resistance by default, removing apps from my phone, turning off notifications, and establishing clear and specific times for any use that remained genuinely purposeful and intentional.</t>
  </si>
  <si>
    <t>Yes, genuinely unsustainably long hours, which was honestly one of the primary and most compelling reasons I eventually decided to make the change.</t>
  </si>
  <si>
    <t>Long working hours had been a consistent and deeply embedded feature of my previous role for considerably longer than was healthy or ultimately productive, and the recognition that this was unlikely to fundamentally change within that environment was a significant factor in my eventual decision to leave. I had tried to manage the situation through better personal time management, more deliberate boundary setting, and direct conversations with management, all of which had produced only temporary and partial improvements that never lasted long enough to genuinely change the underlying pattern and expectation.</t>
  </si>
  <si>
    <t>Looking back at the working hours I had been maintaining before making the job change, the pattern was one that I am genuinely surprised I sustained for as long as I did without making a more fundamental and earlier change than I eventually got around to doing. The hours were not merely long in the straightforward sense of spending many hours at a desk, but demanding in a more comprehensive way that included the emotional and cognitive residue that followed work home each evening and made genuine rest and recovery consistently difficult to achieve even when the formal working hours had technically ended. I had convinced myself for quite some time that the situation was temporary and would improve once a particular project concluded or a specific pressure subsided, which proved to be the kind of rationalisation that is very effective at sustaining genuinely unsustainable situations across much longer periods than they deserve or require. The job change was ultimately the only intervention that actually resolved the problem in any lasting way, which taught me something important about recognising when improvement within an existing situation is genuinely possible and when a more fundamental change is what the situation actually requires.</t>
  </si>
  <si>
    <t>Honestly, not particularly, as that stage of my life involved navigating significant uncertainty that made genuine and sustained confidence quite difficult to maintain.</t>
  </si>
  <si>
    <t>Confidence during that period of my life was something I experienced quite variably and inconsistently rather than as a stable and reliable foundation that I could consistently count on. There were moments and domains where I felt genuinely competent and assured, and others where I was very much still finding my way and feeling considerably more uncertain than I probably appeared from the outside. That gap between inner experience and outer appearance is something I think is far more common than most people ever admit or acknowledge openly.</t>
  </si>
  <si>
    <t>When I reflect honestly on my confidence levels during that particular stage of my life, the picture that emerges is considerably more mixed and nuanced than either a straightforwardly positive or straightforwardly negative characterisation would accurately capture. There were specific areas of genuine competence where I felt authentically confident in ways that were justified by real evidence and accumulated experience, and those pockets of genuine self assurance were important anchors during a period that contained significant uncertainty in other dimensions. But there were also areas, particularly around some of the more interpersonal and relational demands of navigating a complex and demanding environment with relatively limited experience and self knowledge, where my confidence was considerably more fragile and performance dependent than I would have wanted it to be. What I have come to appreciate in retrospect is that the work of genuinely developing confidence, as opposed to simply projecting it performatively, is much slower and more demanding than it appears from the outside, and that the uncertainty I was experiencing at that stage was actually a fairly necessary and ultimately valuable part of a process of genuine growth that could not have been significantly accelerated without losing something important along the way.</t>
  </si>
  <si>
    <t>At that time I was feeling a complex mixture of genuine excitement about the possibilities ahead and real anxiety about all the uncertainty surrounding me on every side.</t>
  </si>
  <si>
    <t>What I was feeling during that period was genuinely complicated and not easily reduced to any single or simple emotional description that would capture the full texture of the experience honestly. There was real excitement about what I was attempting and building toward, but it coexisted consistently with significant anxiety about whether I was making the right choices and whether I had what it actually required. That combination of excitement and genuine anxiety is something I have come to associate with being genuinely engaged in something that matters rather than playing it safely within established and familiar boundaries.</t>
  </si>
  <si>
    <t>The feelings I was navigating during that particular period were layered and sometimes quite contradictory in ways that made straightforward introspection difficult and somewhat misleading if I tried to impose too neat a description on what was actually quite a complex and evolving emotional landscape. On the surface I was functioning well enough and presenting with what probably appeared to most observers as appropriate composure and reasonable competence. But beneath that composed surface I was managing a fairly constant background of anxiety about whether what I was doing was right and whether I had the genuine capability to deliver on the expectations being placed on me, alongside a real and genuine excitement about the possibilities the situation contained that I did not want to allow the anxiety to entirely overwhelm or crowd out. Learning to hold those apparently contradictory states simultaneously without needing to resolve them prematurely into a more comfortable but less honest simplicity was itself one of the more genuinely valuable things that difficult period ultimately taught me about my own emotional range and genuine resilience.</t>
  </si>
  <si>
    <t>More so, yes, as the stage that preceded it had been a period of real momentum and genuine achievement that had built my confidence quite substantially over time.</t>
  </si>
  <si>
    <t>Before that particular stage my confidence had generally been at a higher and more stable level, having benefited from a preceding period where things had gone reasonably well and where I had accumulated genuine evidence of my own capability in ways that provided a real and fairly reliable foundation. The shift downward was not dramatic or sudden but gradual, driven by the specific demands and uncertainties of the new situation progressively eroding the confidence that earlier and more familiar success had built. That experience was itself valuable for revealing how much of my previous confidence had been circumstantially dependent rather than genuinely deep rooted in the way I thought it was.</t>
  </si>
  <si>
    <t>The confidence I had been carrying into that challenging period had been built over a preceding phase that had generally gone well and had provided me with accumulating evidence of genuine competence and capability in my chosen domain. I had managed progressively more demanding challenges successfully, built relationships and a professional reputation that felt solid and genuinely earned, and arrived at a sense of myself as someone who could handle the kinds of difficulties that my professional path would inevitably bring my way. What the subsequent more difficult period revealed, somewhat uncomfortably, was that this confidence, while real and genuinely earned within its original context, was more fragile and more context dependent than I had recognised or appreciated. Moving into an environment with significantly different demands and unfamiliar success criteria exposed the ways in which my confidence had been partly built on familiarity and accumulated pattern recognition rather than on a deeper and more portable foundation that would transfer readily to genuinely new and demanding situations requiring different kinds of capability and understanding.</t>
  </si>
  <si>
    <t>At that stage I had been relying more than usual on close friendships and the particular kind of honest support that only truly trusted people can reliably provide.</t>
  </si>
  <si>
    <t>During that demanding period I found myself relying more heavily than usual on a few specific sources of support and stability that had become genuinely essential to navigating everything I was managing at the time. The friendships I most valued were tested and proven during that phase in ways that deepened them significantly and permanently. I was also relying more heavily on structured routines as a source of predictability and control in an overall situation that contained a great deal of uncertainty I could not eliminate or meaningfully reduce through effort alone.</t>
  </si>
  <si>
    <t>What I had been relying on more than usual during that particular stage is something I can identify more clearly in retrospect than I could in the midst of actually living through it and managing its daily demands. The most significant increase in reliance was on a small number of genuinely trusted relationships, people with whom I could be completely honest about what I was experiencing without needing to perform competence or manage impressions in the way that professional environments sometimes require. Those conversations were genuinely sustaining in ways that I could not have fully appreciated or predicted before I actually needed them as much as I did. I was also relying more heavily than usual on routine and structure as a source of stability and predictability, having discovered that when the external environment contains significant and unavoidable uncertainty, creating reliable internal rhythms around sleep, exercise, and daily habits provides a genuinely important counterbalance that helps maintain the capacity for effective functioning under conditions that would otherwise be quite destabilising.</t>
  </si>
  <si>
    <t>During that period I had been thinking intensively about what I actually wanted from my life and whether my current path was genuinely aligned with those real values.</t>
  </si>
  <si>
    <t>My thinking during that period was consumed to an unusual degree by fundamental questions about direction and purpose that more comfortable and settled times tend to allow you to defer without paying too high a price for doing so. I was questioning whether the professional path I was on was genuinely right for me, what I actually needed to feel that my work was meaningful, and whether the choices I had made up to that point were building toward something that my future self would genuinely value and feel good about. Those are not comfortable questions to sit with, but they are important ones and I am genuinely glad the period forced me to engage with them seriously.</t>
  </si>
  <si>
    <t>The thinking I had been doing during that particular period had a quality and intensity that was quite different from my usual patterns of reflection and planning, driven by circumstances that made comfortable and habitual thinking patterns feel genuinely insufficient for what the situation actually required of me. I was thinking very seriously about questions of genuine alignment between how I was spending my time and energy and what I actually most valued and cared about, the kind of fundamental reckoning that busy and settled periods tend to make easy to avoid or defer indefinitely. The professional questions were the most surface visible, concerning direction, identity, and what success actually meant to me beyond the external markers I had previously used somewhat unreflectively as proxies. But underneath those professional questions were deeper and more personal ones about values, relationships, and the kind of life I genuinely wanted to be building rather than simply the kind that professional momentum and accumulated circumstances were naturally generating on my behalf without my fully conscious and deliberate participation and authorship.</t>
  </si>
  <si>
    <t>I am particularly strong in communication and problem solving, and both have genuinely served me very well throughout my entire professional career so far.</t>
  </si>
  <si>
    <t>Over the years I have developed a fairly solid and diverse set of skills, both technical and deeply interpersonal in nature. I am quite good at working under real pressure and adapting quickly to new and completely unexpected situations as they arise. I have also been told I am a strong communicator, which has helped enormously in team environments and in all kinds of genuinely collaborative professional work.</t>
  </si>
  <si>
    <t>My skill set has evolved quite significantly over the years, shaped largely by formal education and valuable real world experience working alongside many different kinds of people and in many different kinds of demanding situations. I consider myself particularly strong in analytical thinking, as I genuinely enjoy breaking down complex problems and finding practical and truly workable solutions that can be implemented rather than just described. On the interpersonal side, I have always been comfortable leading discussions and collaborating effectively with diverse groups of people from very different professional backgrounds and with quite different working styles and priorities. I have also made a conscious and consistent effort to keep my technical skills current, especially as technology has dramatically transformed most industries and professions in ways that require genuine ongoing engagement and learning rather than one off adaptation.</t>
  </si>
  <si>
    <t>I come from a close and loving family of four, and we have always supported each other through everything that life has brought our way.</t>
  </si>
  <si>
    <t>I grew up in a small but wonderfully tight family, and we have always been genuinely close to each other no matter what circumstances have brought or demanded of us. My parents worked incredibly hard to give us a stable and happy life together. Even now, we try to get together as often as we possibly can throughout the year to maintain and nourish those connections.</t>
  </si>
  <si>
    <t>I come from a mid sized family, and honestly they have shaped who I am more than anything else in my entire life has managed to do. Growing up, my parents were quite strict, but looking back that strictness definitely helped me become more responsible and genuinely focused as a person over time. I have two siblings, and although we used to argue constantly as children, we are surprisingly and genuinely close now as adults who have been through a great deal together. We regularly catch up at weekends, which I genuinely look forward to every single time without any exception whatsoever.</t>
  </si>
  <si>
    <t>I studied at a public university and genuinely enjoyed every moment, as it really and meaningfully broadened my perspective on almost everything important to me.</t>
  </si>
  <si>
    <t>I completed my degree in business, which I found both genuinely challenging and deeply rewarding throughout the entire experience from beginning to end. The coursework pushed me to think critically about real world problems and situations I had never seriously considered before. Looking back, it was honestly one of the best and most important decisions I have ever made for myself and my future.</t>
  </si>
  <si>
    <t>My educational journey has been quite varied and overall really fulfilling in many unexpected and genuinely wonderful ways throughout every stage. I attended a fairly competitive school where I discovered a genuine passion for problem solving and careful analytical thinking that has stayed with me ever since. University was a completely different experience, far more independent and self directed than anything I had encountered before in my life up to that point. I had to manage my own time very carefully, which honestly taught me as much about myself and about life as the actual subjects and coursework themselves ever did or could have done.</t>
  </si>
  <si>
    <t>I work in a role that genuinely challenges and engages me every day, which I consider myself very fortunate to be able to say honestly and without any reservation.</t>
  </si>
  <si>
    <t>My current job involves a combination of analytical work and collaborative problem solving that I find genuinely stimulating and consistently worthwhile in ways that make the demanding aspects feel manageable and even worthwhile. The people I work with are talented and genuinely committed, which makes a real and very significant difference to the overall quality of the daily experience. I feel fortunate to be in a role that aligns reasonably well with both my skills and the things I actually care about and find meaningful.</t>
  </si>
  <si>
    <t>My job is one that I genuinely enjoy and find deeply meaningful, though I try to be honest with myself about the fact that no role is without its frustrations and that maintaining genuine enthusiasm over time requires active cultivation rather than simply relying on initial excitement to carry you through indefinitely. The work itself involves a satisfying combination of deep individual thinking and collaborative engagement with colleagues whose perspectives and expertise genuinely complement and regularly challenge my own in ways I find intellectually stimulating and professionally valuable. What I value most about my current role is the genuine sense that the work I do contributes to something meaningful beyond simply completing tasks and meeting targets, a sense of purpose that I think is genuinely among the most important factors in finding work sustainably rewarding over any extended period of time. The challenges are real and sometimes quite significant, but they are the kind that develop genuine capability rather than simply creating stress without any corresponding growth or learning.</t>
  </si>
  <si>
    <t>I deeply admire actors who fully and completely disappear into their roles, as that level of total transformation is genuinely quite remarkable and truly impressive to witness.</t>
  </si>
  <si>
    <t>The actors I find most compelling and genuinely impressive are those who consistently choose challenging and unconventional roles over commercially safe and entirely predictable ones. A truly great performance to me is one where you completely and naturally forget you are watching an actor performing at all. That rare combination of genuine craft and real artistic courage is something I find truly admirable and worth celebrating much more widely than it currently ever is.</t>
  </si>
  <si>
    <t>Rather than naming just one single favorite, I am most drawn to actors who demonstrate extraordinary range and consistently and bravely prioritise artistic integrity over commercial appeal and easy mainstream success. What genuinely fascinates me is the incredible craft of total transformation, how the very best performers do not just technically play characters but seem to fully inhabit them so completely that the performance itself entirely and naturally disappears from conscious awareness. I think great acting is one of the most underappreciated forms of genuine athleticism, demanding emotional intelligence, rigorous discipline, and real vulnerability simultaneously from every single performer who attempts it seriously. Those remarkable qualities combined consistently produce performances that stay with you for many years afterward and continue to reveal new dimensions on each subsequent encounter with them.</t>
  </si>
  <si>
    <t>My favorite film somehow gets genuinely better every single time I watch it, as it is deeply layered, emotional, and brilliantly crafted throughout every single scene.</t>
  </si>
  <si>
    <t>Choosing just one single favorite film feels almost completely impossible, but the ones I return to most combine compelling storytelling with genuinely beautiful and truly memorable cinematography throughout. The movies that stay with me longest are those that do not resolve everything neatly but instead leave you genuinely thinking and reflecting deeply for many days afterward. That powerful combination of real emotional and intellectual engagement is what I find most deeply rewarding in cinema as a genuine and serious art form.</t>
  </si>
  <si>
    <t>My favorite film is one I first watched almost completely by chance and then ended up seeing three more times in quick succession, finding genuinely new layers and meanings on each subsequent viewing that I had completely missed the time before. What truly makes it remarkable is not any single element but how everything, from the script and performances to the score and visuals, feels completely and beautifully unified in service of one specific and deeply felt emotional truth. The greatest films make you feel like you have genuinely lived through an experience rather than simply observed one passively from a comfortable and safe distance throughout. My core criterion has always remained simple and consistent, which is whether a film makes me feel something completely real and genuinely lasting long after the credits have finished rolling.</t>
  </si>
  <si>
    <t>I have been lucky enough to visit several different countries, and each trip has honestly taught me something genuinely valuable and lasting about the world and myself.</t>
  </si>
  <si>
    <t>I have traveled to quite a few interesting places over the years, both for work purposes and for personal leisure and genuine enjoyment and exploration. Some of my most memorable trips involved destinations with incredibly rich cultural histories, vibrant traditions, and fascinating local ways of daily life that I found deeply engaging. Traveling has genuinely broadened my perspective in ways I never really expected or fully anticipated before setting off on those journeys with open curiosity.</t>
  </si>
  <si>
    <t>Travel has always been one of my greatest passions in life, and I try to explore somewhere completely new whenever I possibly can despite the practical constraints of time and budget that inevitably apply. Some of my most memorable and genuinely formative experiences have come from getting completely lost in unfamiliar cities, which sounds stressful but actually feels genuinely liberating every single time it happens to me. I have visited both bustling urban centers and very quiet remote villages, and each place has offered something completely unique and special and irreplaceable that the other kind of place simply cannot provide. Those meaningful and often unexpected encounters with local people have truly and permanently changed how I see and understand the world and the remarkable diversity of ways that human beings choose to organise and live their lives.</t>
  </si>
  <si>
    <t>I try to stay fairly active and eat balanced meals every single day, though I am definitely not perfect about it all the time and I accept that honestly.</t>
  </si>
  <si>
    <t>My health habits have improved significantly over the past couple of years, which I am genuinely and deeply proud of achieving through sustained effort and real commitment to change. I exercise three or four times every week and try to cook at home as often as I possibly can rather than relying on convenient but less nutritious alternatives. I have also become much more mindful and genuinely intentional about sleep, which has made a truly noticeable and welcome difference to my daily energy and overall mood throughout the week.</t>
  </si>
  <si>
    <t>Maintaining good health habits is something I have become increasingly serious and thoughtful about, especially as I have gotten older and started noticing the very real difference that consistent healthy choices make to how I feel and function every single day. I try to exercise regularly, mostly running and some light strength training, because it genuinely and consistently improves both my mood and overall energy levels throughout the day in ways that nothing else quite manages to replicate. My diet has also changed quite significantly over time, as I now eat far more vegetables and genuinely fresh food and far less processed and convenient food than I ever did before making these deliberate changes. I have also cut back meaningfully on caffeine in the evenings, which has dramatically and very positively improved my overall sleep quality and the genuine restfulness I experience each night as a direct result.</t>
  </si>
  <si>
    <t>I have continued reading, swimming, and playing football well into adulthood, as all three bring genuine and consistent joy that I see absolutely no reason to give up.</t>
  </si>
  <si>
    <t>The activities I have carried consistently from childhood into adult life are the ones that offered something genuinely irreplaceable rather than simply being enjoyable in a way that other available activities could easily substitute for or replicate. Reading has been the most constant of all, as it has adapted naturally to every stage of my life and continued providing genuine value in ways that have only deepened rather than diminished over time. Swimming and occasional football have remained as well, though less regularly than in earlier years due to the more complex demands on available time and energy that adult life reliably imposes on everyone.</t>
  </si>
  <si>
    <t>The activities I have continued into adulthood are the ones that proved genuinely deep and irreplaceable rather than merely enjoyable in a way that became less interesting or relevant as my life and circumstances changed around them. Reading tops the list without any question, having evolved from childhood escapism into something far more central and nourishing to how I think, learn, and maintain my sense of connection with ideas and perspectives beyond my immediate daily experience. Physical activity in various forms has also continued, though the specific activities and the relationship I have with them has changed quite considerably. Football shifted from a serious competitive pursuit to a more occasional and purely social activity, while swimming became something I valued more deliberately and thoughtfully as an adult precisely because of the particular meditative and restorative qualities it offers that I had not fully appreciated or consciously sought out when I was younger and less aware of what I genuinely needed from physical activity beyond simple enjoyment and competitive engagement.</t>
  </si>
  <si>
    <t>I have quite a few hobbies, but reading and hiking are definitely the ones I enjoy most consistently and look forward to most reliably throughout my week.</t>
  </si>
  <si>
    <t>In my free time I mostly enjoy reading, cooking, and occasionally going for long and unhurried walks outdoors in beautiful natural surroundings whenever I can arrange it. I find that having genuine hobbies really helps me unwind and properly decompress after a busy and demanding week at work in ways that more passive forms of relaxation simply do not manage to do as effectively. They also give me something meaningful and genuinely enjoyable to look forward to on weekends and days off that are otherwise at risk of feeling shapeless and unsatisfying.</t>
  </si>
  <si>
    <t>I have always genuinely believed that hobbies are absolutely essential for maintaining a healthy and sustainable work life balance over any meaningful long run period. Personally, I love reading because it allows me to explore entirely different worlds and perspectives without ever having to leave home or make any significant logistical effort at all. I also genuinely enjoy cooking, especially trying out cuisines I have never attempted to make before and discovering through the process what makes them distinctive and worth understanding more deeply. Recently I have taken up photography, which has completely and quite wonderfully changed how I notice and appreciate everyday things and completely ordinary moments that I previously would have walked past without pausing to look at them more carefully or with any genuine attention and curiosity.</t>
  </si>
  <si>
    <t>My favorite hobby is probably reading, as it is honestly the one thing I genuinely cannot imagine my daily life without at any point or under any circumstances.</t>
  </si>
  <si>
    <t>My favorite hobby has to be cooking, because it beautifully and satisfyingly combines creativity, continuous learning, and the immediate and genuinely rewarding pleasure of sharing something truly delicious with people you actually care about. I find the whole process deeply and genuinely meditative, as there is real satisfaction in giving something your complete and undivided attention for a sustained period without any competing demands or distractions. It also keeps wonderfully evolving as I try exciting new techniques and cuisines, so it never becomes repetitive or dull or boring for me personally regardless of how long I have been doing it.</t>
  </si>
  <si>
    <t>My favorite hobby is photography, which I took up relatively recently but have become quite deeply and happily absorbed in since first discovering it as a genuinely wonderful creative outlet that suited my personality and interests in ways I had not anticipated at all before starting. What initially drew me to it was the technical challenge of truly understanding light, composition, and camera mechanics properly and skillfully in genuinely different kinds of situations and conditions. What keeps me consistently returning is how profoundly and wonderfully it has changed how I see and appreciate everyday surroundings and completely ordinary moments around me that I previously overlooked entirely. Things I would have walked past without a second glance now feel genuinely worth pausing and carefully noticing and trying to capture in a way that does them justice. I mostly do street and landscape photography and have met a genuinely interesting and warm community of people through local workshops and various online forums dedicated to the craft.</t>
  </si>
  <si>
    <t>Long walks without my phone are my absolute favorite way to disconnect, as nothing else quite replicates that quality of undivided and genuinely present attention to immediate surroundings.</t>
  </si>
  <si>
    <t>My most reliable and deeply satisfying way to genuinely disconnect from technology is spending extended time outdoors without any device at all, whether walking, hiking, or simply sitting somewhere with a beautiful view that requires no digital mediation whatsoever to fully appreciate and enjoy. The combination of physical movement, natural environment, and genuine absence of the screen's competing claims on my attention produces a quality of real mental rest that no amount of mindful screen use could ever approximate or substitute for. It is the actual complete absence rather than the managed reduced presence that makes the genuine and lasting difference for me.</t>
  </si>
  <si>
    <t>Genuine disconnection from technology is something I have come to prioritise more seriously and deliberately as I have become more honestly aware of how comprehensively it can permeate every available moment of daily experience when not actively and thoughtfully managed and contained. The approaches that work best for me are those that make disconnection feel like something genuinely gained rather than something reluctantly surrendered, which is an important distinction that makes a real difference to how willingly and sustainably the practice can be maintained over time. Spending extended time outdoors without any device, cooking something ambitious and genuinely absorbing that requires my complete physical and sensory attention, or getting deeply and completely lost in a physical book that pulls my attention away from the digital environment entirely are all approaches that work reliably and consistently well for me. What these have in common is not the mere absence of technology but the presence of something genuinely worth being fully and unreservedly present for.</t>
  </si>
  <si>
    <t>My absolute favorite way to celebrate is a relaxed and unhurried dinner with close friends, enjoying truly good food and warm and genuinely meaningful conversation together.</t>
  </si>
  <si>
    <t>When I have something genuinely worth celebrating, I always prefer keeping it low key but deeply meaningful and personally significant rather than large and elaborate and overwhelming. My ideal celebration is a lovely and unhurried meal with the people I care about most, somewhere with a wonderful atmosphere and plenty of relaxed time to truly enjoy it together without feeling rushed. I find that the simplest and most intimate celebrations are consistently and reliably the most memorable and genuinely special ones of all for everyone involved.</t>
  </si>
  <si>
    <t>My favorite celebrations tend to be intimate and personal rather than extravagant and showy, which I think accurately reflects my broader personality and deeply held values about what actually makes occasions genuinely meaningful and worth remembering fondly. I genuinely love gathering a small and carefully chosen group of close friends or beloved family members around a wonderful shared meal, either cooked at home or at a restaurant everyone has been genuinely eager to try together for some time. There is something truly special about sharing great food and having warm and completely unhurried conversation that feels like the most natural and fitting way to mark any important occasion that genuinely deserves proper celebration. The best celebrations I have ever experienced are less about the grand gesture and much more about the right people being genuinely and fully and attentively present together without distraction or hurry.</t>
  </si>
  <si>
    <t>History has always been my absolute favorite subject, as it genuinely helps explain almost everything that is currently happening in the complex and confusing world around us.</t>
  </si>
  <si>
    <t>My favorite subject, both at school and in my ongoing self education as a curious adult, has always been history without any doubt or hesitation whatsoever. I find it endlessly and deeply fascinating because it clearly reveals how human nature, power, and circumstance have together shaped the world we currently inhabit and share with everyone else. Understanding history makes the present feel far more comprehensible and in some genuinely meaningful ways considerably less frightening and uncertain than it might otherwise appear to anyone paying serious attention to current events.</t>
  </si>
  <si>
    <t>History is the one subject I keep consistently and enthusiastically returning to, no matter how many years have passed since I last formally studied it in any official classroom setting at all. What I love most about it is that it is not simply a dry collection of dates and events to be memorised and then forgotten but a genuinely powerful and illuminating lens for understanding how societies form, collapse, adapt, and repeatedly and frustratingly make the very same serious mistakes across different eras and contexts. I am particularly drawn to modern history and the incredibly complex and consequential forces that shaped the twentieth century so profoundly and dramatically in ways we are still living with and working through today. Beyond history, psychology has always genuinely fascinated me too, since understanding how people actually think and make decisions feels just as important and relevant as knowing what they have done and why throughout the long and complicated record of human history.</t>
  </si>
  <si>
    <t>My favorite place is a quiet and peaceful spot right by the sea, as something about open water instantly and reliably makes me feel completely and deeply at peace inside.</t>
  </si>
  <si>
    <t>My favorite place is a beautiful coastal town I first visited a few years ago that immediately and unmistakably felt like somewhere I could genuinely and happily live permanently without any reservation. The pace of life there was wonderfully and refreshingly slower than anything I was used to, the stunning scenery was genuinely breathtaking in every direction, and the warm local people were completely unhurried and welcoming in everything they did and said. I have thought about it fondly and often since that first magical visit, and it still represents complete relaxation and genuine contentment to me whenever I bring it to mind.</t>
  </si>
  <si>
    <t>My favorite place is a small and charming coastal village I stumbled across almost entirely by happy accident during a memorable trip several years ago now. It was not on any planned itinerary at all, as we simply took a wrong turn and unexpectedly ended up there, and I remain endlessly glad we did make that particular navigation error that day. There was something truly special about the dramatic cliffs, the sleepy fishing harbour, and the genuinely welcoming and friendly locals that made the whole place feel almost cinematically perfect in quality and atmosphere and human warmth. I have returned twice since that first accidental discovery and it has beautifully retained every single bit of its original and deeply captivating charm in ways that very few places manage to sustain across multiple visits separated by significant time.</t>
  </si>
  <si>
    <t>My favorite food is pasta, as there are genuinely endless wonderful ways to make it satisfying, deeply comforting, and truly delicious every single time without exception.</t>
  </si>
  <si>
    <t>It is genuinely hard to pick just one favorite food, but if I absolutely had to I would say a really well made and carefully crafted bowl of ramen simmered for many hours with that wonderfully deep and complex layered flavour that only long and patient cooking can produce. There is something truly special about it that feels simultaneously deeply comforting and genuinely exciting and interesting to eat every single time I encounter a truly excellent version. I have had different versions across several different countries, and each one has been distinctly and memorably worth trying and fully savoring with complete and grateful attention.</t>
  </si>
  <si>
    <t>My favorite food genuinely changes depending on my current mood and the season of the year, which perhaps says something interesting and honest about how I approach eating generally and personally as a lifelong pleasure rather than a simple necessity. In winter I always gravitate toward rich and slow cooked dishes like beautifully braised meats or hearty warming soups that warm you deeply and completely from the inside out in a way that nothing else quite manages during genuinely cold weather. In summer I want something bright, fresh, and vibrant, built around beautiful seasonal vegetables and plenty of fresh fragrant herbs that capture exactly what the season has to offer at its very best. If I absolutely had to pick one single dish I could eat indefinitely without ever tiring of it, it would probably be an exceptional wood fired pizza executed perfectly and with genuine skill, quality ingredients, and obvious care and pride in the final result.</t>
  </si>
  <si>
    <t>I love mild and sunny weather with a gentle breeze, as it genuinely lifts my mood and makes everything outdoors feel wonderfully and immediately more inviting and alive.</t>
  </si>
  <si>
    <t>My favorite weather is the kind that makes being outside feel genuinely effortless and naturally appealing rather than something requiring any particular effort or determination to motivate yourself toward. Warm but not oppressive, sunny but with enough cloud to prevent it becoming overwhelming, and with a light breeze that keeps everything feeling fresh and comfortable and pleasant without being disruptive or cold. That particular combination, which occurs perhaps most reliably in late spring and early autumn in most temperate climates, represents something very close to my personal meteorological ideal for daily living and outdoor enjoyment.</t>
  </si>
  <si>
    <t>My relationship with weather has become considerably more nuanced and appreciative as I have gotten older and spent more genuine time thinking about how profoundly different atmospheric conditions affect my mood, energy, and overall sense of wellbeing in ways I had previously underestimated and not paid sufficient deliberate attention to. The weather I genuinely love most is that particular quality of warmth and light you get in late spring, when the temperature is genuinely pleasant and encouraging without tipping into the kind of heavy heat that can become genuinely draining and difficult to function well within over extended periods. I also have a genuine and perhaps slightly unexpected appreciation for dramatic autumn weather, crisp air, low golden light, and the particular quality of sky you get when pressure systems are moving through, as there is something about the energy and visual drama of those conditions that I find deeply stimulating and genuinely beautiful in a completely different way from the gentle comfort of ideal spring days.</t>
  </si>
  <si>
    <t>The smell of rain on warm dry earth is genuinely one of my absolute favorites, as it triggers something deeply primal and wonderfully comforting inside me every time.</t>
  </si>
  <si>
    <t>Choosing a single favorite smell is genuinely quite difficult because smell is so deeply and directly connected to memory and emotion in ways that make individual scents carry very different weights and meanings depending entirely on the personal associations they have accumulated over a lifetime of experience. If I had to choose just one though, it would probably be the smell of good coffee in the morning, which reliably and consistently signals the beginning of a day full of genuine potential and possibility in a way that never quite loses its power to feel genuinely warming and encouraging regardless of how many times I have experienced it before.</t>
  </si>
  <si>
    <t>The question of favorite smells is one I find genuinely fascinating to reflect on seriously, because the olfactory sense is so intimately and directly connected to memory and emotion in ways that other senses simply do not replicate with quite the same immediacy or emotional intensity. The smells that mean most to me are almost invariably connected to specific and treasured memories or to deeply comforting associations built up over long periods of positive and meaningful experience. The smell of coffee brewing in the morning carries an almost ceremonial quality of promising beginning that I find genuinely and consistently warming. Old books have a particular quality that immediately and reliably evokes the specific pleasure of reading and the accumulated weight of all the ideas and stories they contain waiting to be discovered and engaged with. And there is something about the smell of wood smoke in cold outdoor air that triggers a deep and immediate sense of comfort and safety that feels almost ancestrally ingrained rather than merely personally acquired through individual experience alone.</t>
  </si>
  <si>
    <t>Rain against windows, distant ocean waves, and the sound of wind moving through trees are genuinely the sounds I find most deeply and consistently relaxing without exception.</t>
  </si>
  <si>
    <t>The sounds I find most genuinely relaxing share a quality of natural rhythm and gentle unpredictability that seems to occupy just enough of my attention to quieten active thinking without demanding any real engagement or focused processing from me. Rain is perhaps the most reliable of all, as the combination of consistent white noise and the sound of water creates an almost immediate shift toward a calmer and more restful state regardless of what I was thinking about or how I was feeling immediately before hearing it. The sound of the sea in all its various moods works similarly but with a greater sense of scale and spaciousness that I find particularly restorative after time in busy and noisy urban environments.</t>
  </si>
  <si>
    <t>The sounds I find most genuinely and deeply relaxing tend to be natural rather than manufactured, continuous rather than punctuated, and gentle enough to recede into the background of awareness without disappearing entirely into inaudibility. Rain on various surfaces tops the list for me, as different surfaces produce subtly different versions of what is essentially the same sound and each has its own particular quality and character that rewards careful and unhurried attention. The ocean at various states of tide and weather provides something similar but with considerably more dynamic range and variety, and I find that even brief exposure to the sound of genuine waves produces a measurable and noticeable reduction in the background level of mental tension that accumulates during busy and demanding periods of daily life. Wind through leaves is another that I genuinely cherish, particularly in summer when the sound carries a particular quality of warmth and abundance that I associate deeply and irrevocably with a specific kind of peaceful and unhurried contentment that I find enormously difficult to access through any other sensory pathway with the same directness and reliability.</t>
  </si>
  <si>
    <t>I have a small but genuinely close and deeply valued circle of friends whose consistent honesty and reliable support mean more to me than I can easily express.</t>
  </si>
  <si>
    <t>My friendships are something I value enormously and invest in deliberately, having come to understand clearly that the quality of close relationships is one of the most significant determinants of genuine daily wellbeing and long term happiness that exists in anyone's life. I have a relatively small circle of truly close friends rather than a large network of pleasant acquaintances, which reflects a conscious choice to prioritise depth of connection over breadth of social reach. Those friendships have been built over many years and tested by genuinely difficult periods in ways that have deepened them considerably beyond what comfortable and unchallenging times alone could ever have achieved.</t>
  </si>
  <si>
    <t>My friends are genuinely among the things I feel most grateful for in my entire life, and I think that gratitude has become considerably more conscious and explicit as I have gotten older and understood more clearly just how rare and genuinely valuable truly close and honest friendships actually are when examined against what most people actually experience in their social lives across an entire lifetime. I have a small number of friendships that I would describe as genuinely deep, built over many years of shared experience, honest conversation, and the particular kind of loyalty that has been demonstrated through genuinely difficult periods rather than simply claimed during comfortable and easy ones. I also have a wider circle of people whose company I genuinely enjoy and whose lives I follow with real and sincere interest and care. What I have come to understand about friendship is that the depth requires consistent and deliberate investment rather than simply accumulating naturally with the passage of time, and that protecting time for the people who matter most is one of the most important and meaningful choices anyone can make about how to spend the genuinely limited and precious time available to them.</t>
  </si>
  <si>
    <t>I deeply admire thinkers and writers who genuinely committed their entire lives to advancing human understanding and compassion, often at great personal cost and considerable sacrifice.</t>
  </si>
  <si>
    <t>There are several public figures I find genuinely and deeply admirable, though my admiration tends to be for specific and demonstrable achievements or particular qualities rather than for whole people or their entire complex lives and histories. I am particularly drawn to scientists and writers who have dedicated their working lives to making genuinely complex ideas accessible and meaningful to ordinary people everywhere. That powerful combination of real intellectual rigor and genuine communicative generosity is something I find deeply and consistently inspiring in anyone who manages to achieve it with real quality and sustained commitment.</t>
  </si>
  <si>
    <t>The famous figures I most genuinely admire are those who have dedicated their lives to expanding human knowledge or meaningfully alleviating suffering, often with very little personal recognition or reward proportionate to their extraordinary efforts and contributions. I am drawn to scientists who persevered for decades on seemingly intractable and deeply difficult problems that most people had long since concluded were either unsolvable or not worth the sustained effort required to make real progress. I am equally drawn to writers who bravely took courageous and unpopular positions on difficult truths that their contemporaries preferred to avoid or deny, and to activists who continued their genuinely important work despite real and serious personal risk. I think admiration is most genuinely valuable when it is very specific, when you can identify exactly what someone did and precisely why it matters to you personally. That specificity gives you something concrete and meaningful to aspire toward in your own daily life rather than simply a vague and unactionable sense of being generally impressed by someone from a comfortable distance.</t>
  </si>
  <si>
    <t>I follow a few artists and musicians quite closely, though I always try to keep my admiration fairly grounded and genuinely realistic about who they actually are beyond their public work.</t>
  </si>
  <si>
    <t>I would not describe myself as a devoted fan of any celebrity in the traditional or conventional sense of that word at all, if I am being completely honest about it. There are certainly creative people whose work I follow closely and whose new output I genuinely and excitedly look forward to experiencing whenever it arrives and becomes available. I think there is an important and meaningful distinction between appreciating what someone creates and being emotionally invested in their personal life and public persona, and I try consistently to stay firmly on the former and more grounded side of that line.</t>
  </si>
  <si>
    <t>My relationship with celebrity culture is somewhat ambivalent and has honestly become more so as time passes and I reflect on it with more genuine attention and critical thought than I brought to it in younger years. I do follow the work of certain musicians, filmmakers, and writers quite closely and feel real excitement when someone I truly admire releases something new and genuinely worthwhile and meaningful. But I am increasingly wary of the parasocial quality that can easily and insidiously develop around celebrity, that strange and somewhat troubling sense of knowing someone intimately that you have genuinely never actually met or had any real interaction with in actual life. I think that dynamic, enormously amplified and accelerated by social media and the constant availability of content, can distort both how we see celebrities and how they ultimately see themselves and their relationship with their audience in deeply unhealthy and ultimately damaging ways for everyone involved.</t>
  </si>
  <si>
    <t>I have genuine respect for leaders who consistently and demonstrably prioritise long term thinking and genuinely honest communication over short term popularity and easy hollow applause.</t>
  </si>
  <si>
    <t>The public figures I most deeply and genuinely respect tend to be those who have demonstrated real and costly courage when it truly mattered most and counted for something beyond their own immediate interests and comfort. I am particularly drawn to people who have taken genuinely difficult positions on important issues knowing it would cost them professionally or socially in significant and lasting ways. Intellectual honesty in public life is genuinely rare and deeply valuable in a way that mere popularity and fame simply are not and never can be regardless of their scale.</t>
  </si>
  <si>
    <t>Respect for public figures is something I try very deliberately to ground in specific and clearly demonstrable qualities and actions rather than general reputation or surface level charisma and personal appeal that does not survive much scrutiny. The people I most genuinely admire in public life tend to share a few important and consistent characteristics that distinguish them from the merely impressive or superficially appealing. They change their minds openly and without defensiveness when evidence genuinely demands it. They communicate complex ideas honestly rather than simplifying to the point of harmful distortion or comfortable misleading. I am particularly drawn to people in science, journalism, and social policy who are working seriously and with genuine competence on problems that truly and urgently matter to real people in their actual daily lives. Public life unfortunately often selects very effectively for performance skills that have very little to do with actual integrity or real world competence and genuine effectiveness in producing outcomes that matter beyond the performance itself.</t>
  </si>
  <si>
    <t>Yes, certain historical leaders have genuinely and deeply influenced how I think about courage, integrity, and what genuinely principled leadership can look like at its very best.</t>
  </si>
  <si>
    <t>Several historical leaders have influenced my thinking in meaningful ways, though I try to engage with them critically and honestly rather than simply and uncritically celebrating everything they did or represented. What I find most genuinely inspiring is not the scale of their achievements, impressive as those often are, but the specific quality of their decision making under extreme pressure and genuine uncertainty when the easy and safe choice was clearly available and would have been entirely understandable. Those moments of genuine moral courage against real and significant resistance are what I find most instructive and most personally inspiring as examples worth learning from.</t>
  </si>
  <si>
    <t>The famous leaders who have most genuinely and lastingly influenced my thinking are those who demonstrated an ability to hold to genuinely important principles under conditions of real and sustained pressure that would have given most people entirely reasonable grounds for compromise or capitulation. What distinguishes the leaders I find most compelling and worth studying carefully is not necessarily the scale of what they achieved, though that often was remarkable, but the quality of their reasoning and the genuine integrity of their character as revealed by how they behaved in genuinely difficult moments when everything important was genuinely at stake. I am also significantly influenced by leaders who demonstrated the intellectual humility to learn and adapt and genuinely change course when evidence required it, which I regard as one of the rarest and most genuinely important qualities in anyone exercising real power and responsibility over the lives and futures of other people who depend on their judgment and wisdom.</t>
  </si>
  <si>
    <t>Yes, there are several people in my field whose combination of deep expertise, genuine intellectual honesty, and clear and accessible communication I find truly and deeply impressive.</t>
  </si>
  <si>
    <t>There are practitioners in my field whose work I follow closely and find genuinely inspiring both for the quality of their thinking and for how they communicate it to audiences with very different levels of background knowledge and technical familiarity. What I find most admirable is not simply the expertise itself, which is necessary but insufficient on its own, but the combination of depth with genuine accessibility and the consistent willingness to acknowledge uncertainty and limitation rather than projecting false confidence for the sake of appearing more authoritative than the evidence actually warrants.</t>
  </si>
  <si>
    <t>The people in my professional field that I most genuinely and deeply respect share a quality that I have come to regard as genuinely rare and enormously valuable in any specialised domain, which is the ability to be simultaneously deeply expert and genuinely intellectually humble about the real boundaries and limitations of that expertise. The most respected figures in any serious field are those who have earned genuine credibility through sustained and rigorous work over many years but who remain visibly open to challenge, willing to update their views publicly when evidence demands it, and consistently honest about what they do not yet know or fully understand. I also greatly respect people in my field who invest real time and genuine effort in making their work accessible to people outside the professional community, not by dumbing it down into misleading simplicity but by finding the clearest and most honest way to communicate genuine complexity to genuinely curious audiences who deserve more than comfortable platitudes and reassuring oversimplifications.</t>
  </si>
  <si>
    <t>Yes, there is someone in my life whose combination of genuine wisdom, consistent kindness, and quiet integrity I have always deeply admired and aspired to emulate.</t>
  </si>
  <si>
    <t>The person I respect and look up to most is not a famous or publicly recognised figure but someone I have known personally for many years whose character I have had the genuine privilege of observing closely across many different and demanding situations and circumstances. What makes them genuinely worthy of deep respect in my view is not any single impressive achievement but the consistent quality of how they engage with people, face difficulties, and maintain their genuine values under real pressure when easier and more self serving options were clearly available and would have been entirely understandable. That kind of sustained and demonstrable integrity in the texture of daily life is something I find genuinely and deeply inspiring.</t>
  </si>
  <si>
    <t>The person I most genuinely and consistently respect and look up to is someone whose influence on my own development has been subtle and gradual rather than dramatic and obviously transformative, which I think is actually more characteristic of how the most genuinely important influences tend to work in real life compared to the more dramatic narratives we often tell about personal growth and significant mentorship. Their particular combination of intellectual seriousness and genuine human warmth, of high standards for themselves and real generosity toward others, of honest acknowledgment of their own limitations alongside genuine excellence in the areas they had chosen to develop most seriously, represents a model of how to live and work that I find endlessly and genuinely instructive regardless of how many times I return to thinking about it carefully and with full attention. What I most value is how their example operates less as a specific set of lessons to be consciously applied and more as an ongoing reference point for what genuine quality of character actually looks like when consistently expressed through the countless small and large choices that constitute a complete and meaningful human life.</t>
  </si>
  <si>
    <t>I genuinely admire certain artists and thinkers whose work has meaningfully shaped how I see and understand the world in ways I remain genuinely grateful for.</t>
  </si>
  <si>
    <t>There are several famous people whose work I follow with genuine interest and real enthusiasm, though I try to maintain a clear and healthy distinction between admiring what someone creates and placing excessive or inappropriate weight on their personal life and choices. The people I most genuinely admire are those who have produced work of lasting and real value that rewards repeated engagement and continues to reveal new dimensions and meanings the more seriously you bring to it. That kind of depth and genuine staying power is something I find far more worthy of sustained admiration than the kind of fame that generates enormous short term attention without producing anything of lasting substance or genuine value.</t>
  </si>
  <si>
    <t>My relationship with admiring famous people is one I have become considerably more thoughtful and deliberate about over the years as I have come to understand more clearly both the genuine value that certain public figures can provide through their work and example and the significant risks that come with placing too much emotional or intellectual weight on people who are ultimately strangers living complex and fully human lives that their public personas inevitably fail to capture honestly or completely. The famous people I most genuinely and durably admire are those whose work I return to repeatedly over many years and continue to find genuinely rewarding and illuminating with each new encounter, which is about as reliable a test of genuine quality and lasting value as any I have found. I remain deeply wary of the intensity and often uncritical nature of contemporary celebrity fandom, which I think frequently prevents the kind of honest and nuanced engagement with someone's actual work and genuine legacy that would be considerably more valuable and meaningful than the parasocial attachment it tends to substitute for.</t>
  </si>
  <si>
    <t>Yes, several historical leaders have genuinely and durably influenced how I think about courage under pressure, ethical complexity, and what genuine leadership can and should look like.</t>
  </si>
  <si>
    <t>I have been influenced by several historical leaders whose lives and decisions I have studied with genuine and sustained attention rather than simply encountered through brief and superficial summaries. What I have found most genuinely instructive is rarely the famous decisions they are most commonly celebrated for but rather the less visible and less celebrated patterns of daily thinking, relationship building, and character development that made those decisions genuinely possible when the moment for them finally arrived. The leaders who have influenced me most are those who demonstrate through their complete lives rather than just their greatest moments what genuine and sustained excellence of character and judgment actually requires and costs.</t>
  </si>
  <si>
    <t>The influence of certain historical leaders on my own thinking has been real and genuinely lasting, though I try to maintain enough critical distance to engage with their lives and legacies honestly rather than simply and uncritically celebrating them in ways that are ultimately less interesting and less valuable than more nuanced and complete engagement would be. The leaders who have most influenced how I think about leadership, decision making, and the exercise of genuine responsibility are those whose complete lives, including their failures, revisions, and genuine moral struggles alongside their achievements, provide rich and instructive material for understanding what it actually means to navigate genuinely consequential choices under conditions of real uncertainty and significant pressure. I am particularly interested in how the leaders I most respect developed and changed over time rather than simply appearing fully formed in their moments of greatest historical visibility and significance.</t>
  </si>
  <si>
    <t>Yes, I genuinely value public figures who consistently use their platform and visibility to advance honest understanding rather than simply to promote themselves and their interests.</t>
  </si>
  <si>
    <t>The public figures I genuinely value are those who create real and lasting positive impact through their work rather than simply generating attention and visibility for themselves and their immediate concerns. I am drawn to scientists, journalists, educators, and artists who use whatever platform they have built to genuinely expand understanding, challenge comfortable assumptions, and contribute to a more honest and more humane public conversation than they found when they arrived. The combination of genuine substantive excellence with a real commitment to contributing something meaningful beyond self promotion is something I find increasingly rare and genuinely worth celebrating and actively supporting.</t>
  </si>
  <si>
    <t>Valuing public figures is something I approach with deliberate care and honest critical attention, having come to understand that genuine value in a public context is considerably rarer and more demanding to sustain than mere visibility, popularity, or the kind of reputation that comes from being widely known rather than genuinely and lastingly worthy of the attention and trust that reputation commands. The public figures I most genuinely value are those whose contribution to public understanding, to the quality of shared discourse, or to the genuine wellbeing of the people they serve has been demonstrably real and meaningfully sustained over a significant period of time rather than concentrated in a few high visibility moments that generate disproportionate attention. I am also particularly drawn to public figures who demonstrate genuine intellectual growth and the willingness to publicly revise their views when better evidence or arguments demand it, which I regard as one of the most important and most consistently undervalued qualities that anyone operating in a public role can demonstrate.</t>
  </si>
  <si>
    <t>Yes, I am genuinely and deeply inspired by artists who manage to make genuinely complex and difficult emotional truths feel immediate, accessible, and profoundly personally relevant.</t>
  </si>
  <si>
    <t>There are several artists across different disciplines and historical periods whose work genuinely and consistently inspires me in ways that go well beyond simple aesthetic enjoyment or appreciation of technical craft, impressive as both of those things often are. What I find most genuinely inspiring is work that manages to make something that was previously invisible or inarticulable suddenly and completely clear in a way that feels both entirely surprising and completely inevitable at the same moment of real encounter with it. That quality of genuine revelation is something I find in great visual art, music, literature, and film, and the artists capable of achieving it with any real consistency seem to me among the most remarkable and genuinely important human beings who have ever lived and worked in any period.</t>
  </si>
  <si>
    <t>The artists who inspire me most share a quality that is easier to recognise in finished work than to fully account for or describe precisely, which is the ability to make contact with something genuinely true and important about human experience in a way that communicates immediately and directly across enormous differences of context, background, and personal history between the artist and the audience encountering their work. I am drawn to work that rewards repeated and serious engagement rather than delivering everything it has to offer on a single encounter, as the depth required to sustain that kind of ongoing revelatory relationship between a work and its engaged audience seems to me genuinely the most reliable marker of artistic quality and lasting value that I have encountered across many years of genuinely trying to understand and appreciate work across a wide range of artistic disciplines and historical periods. The artists whose work meets that standard consistently seem to me worthy of genuine and deep inspiration rather than simply admiration or aesthetic enjoyment.</t>
  </si>
  <si>
    <t>Yes, I deeply admire painters who manage to make the purely visual communicate something that language simply cannot reach or adequately express in any other way.</t>
  </si>
  <si>
    <t>There are several painters whose work I find genuinely and deeply moving in ways that I have spent considerable time trying to understand and articulate more clearly for myself, with only partial and always somewhat inadequate success. What draws me most to the painters I most admire is not technical virtuosity, impressive as that often is at the highest levels of the craft, but the particular quality of seeing they embody and make available to anyone willing to bring genuine attention to their work over sufficient time and with sufficient openness. The painters who inspire me most seem to be showing you not just what something looks like but what it genuinely feels like to fully and honestly inhabit a particular moment of perception and experience.</t>
  </si>
  <si>
    <t>The painters I most genuinely admire are those whose work continues to reveal new dimensions and meanings across many years of returning to it, which seems to me the most reliable test of genuine artistic depth and lasting relevance that I have found through my own sustained engagement with visual art over a significant period of time. What I find most compelling is less the technical achievement, which in the very best work is remarkable but ultimately serves something more important than demonstrating itself, and more the particular quality of vision and emotional intelligence that the work embodies and makes available to anyone willing to truly look at it with full and patient attention. The painters who meet this standard for me are those who make the act of looking itself feel revelatory and genuinely transformative rather than simply pleasurable or aesthetically satisfying in ways that are ultimately somewhat superficial and quickly exhausted by repeated or prolonged encounter.</t>
  </si>
  <si>
    <t>My favorite app is probably a note taking one that I use constantly every day to quickly capture important ideas and thoughts throughout my entire busy daily life.</t>
  </si>
  <si>
    <t>The app I rely on most heavily and consistently is a productivity tool I use daily to organise tasks and manage projects efficiently across both work and personal life in a single integrated system. It has genuinely become completely indispensable for keeping track of everything important without ever feeling overwhelmed or hopelessly scattered throughout the day by competing demands and priorities. Without it, I honestly think I would spend far more time feeling disorganised and unnecessarily stressed than I currently ever do in my actual daily life.</t>
  </si>
  <si>
    <t>If I had to pick just one single favorite app, it would definitely be the one I use for saving and later reading long form articles I discover and want to engage with properly throughout my day but cannot immediately make sufficient time for in the moment. I frequently come across genuinely interesting and worthwhile content that I simply do not have sufficient time to read immediately and carefully, and being able to save it and return to it cleanly and without distracting clutter has truly and meaningfully transformed how I consume and engage with written content across a week. I have also become quite attached to a simple habit tracking app that helps me stay genuinely consistent with the personal routines I have carefully and deliberately built over a considerable period of time. The best apps share a quality of making your daily life a little smoother and more manageable without demanding excessive attention or unnecessary effort from you in return for the value they genuinely provide.</t>
  </si>
  <si>
    <t>Honestly, I think I would prefer a smaller company, as the greater sense of individual impact and genuine contribution appeals to me very strongly indeed.</t>
  </si>
  <si>
    <t>My preference between large and small companies has shifted over time as I have accumulated real experience in both kinds of environments and developed a clearer sense of what I actually need from a working environment to do my genuinely best work and feel truly engaged and motivated day to day. The resources, stability, and breadth of opportunity that large organisations offer are real and genuinely valuable at certain career stages. But the sense of meaningful individual impact and the closer connection between effort and visible outcome that smaller organisations tend to provide feels increasingly important and appealing to me as I have clarified what I most genuinely value in my working life.</t>
  </si>
  <si>
    <t>The large versus small company question is one where my honest preference has evolved considerably from my earlier career assumptions about what constituted the obviously superior and more desirable option. Early on I was drawn to larger organisations for the resources, prestige, and apparent security they seemed to offer, which are real advantages that I would not want to entirely dismiss or discount. Over time, however, I have come to value the qualities that smaller organisations tend to provide much more highly in my actual daily experience of working in them, particularly the greater sense of direct individual contribution to outcomes that genuinely matter, the closer and more honest relationships that smaller team sizes naturally tend to produce, and the greater flexibility and genuine ownership over how work actually gets done that smaller structures typically allow. The ideal for me is probably a company small enough to maintain those qualities while large enough to offer interesting and genuinely ambitious challenges that stretch and develop me meaningfully over time.</t>
  </si>
  <si>
    <t>Yes, by next year I will have been in my current role for several years, which feels like a genuinely significant and meaningful professional milestone worth acknowledging.</t>
  </si>
  <si>
    <t>By next year I will have been in my current position long enough to have moved well beyond the initial learning curve and into the phase of genuinely confident and independently effective contribution that takes real time and sustained experience to reach. That transition feels genuinely significant and worth acknowledging honestly, as the kind of deep situational understanding and established relationship capital that comes only with sustained time in a specific role is something I value highly and do not take lightly or for granted. I am glad to have stayed long enough to reach it rather than moving on prematurely before it could fully develop.</t>
  </si>
  <si>
    <t>By next year I will have been working in my current role for a period long enough that the accumulated experience and the depth of understanding it has produced will represent something genuinely valuable and meaningful to me professionally and personally, far more than any equivalent period of time in a different role or organisation could have produced in quite the same way. The specific knowledge of how this particular organisation thinks and makes decisions, the relationships built with colleagues and stakeholders over sustained and sometimes difficult shared work, and the pattern recognition that comes from having seen the same kinds of challenges cycle through in different forms are all things that compound with time in ways that shorter tenures simply cannot replicate regardless of how intense or valuable the initial learning they provide might be. Recognising and genuinely appreciating the value of what sustained tenure in a role builds over time is something I have come to take considerably more seriously than I did earlier in my career when novelty and variety felt more obviously and consistently appealing than depth and accumulated expertise.</t>
  </si>
  <si>
    <t>By next year I will have been working consistently toward my main goals for about three years, which feels like a genuinely meaningful and encouraging period of sustained commitment.</t>
  </si>
  <si>
    <t>By next year the work I have been doing toward my most important goals will have been underway for long enough that the early foundations should be clearly visible in real and concrete outcomes rather than remaining matters of aspiration and intention alone. That transition from setting goals to seeing genuine evidence of their cumulative realisation is something I genuinely look forward to, not primarily for the external validation it represents but for the internal confirmation that sustained and consistent effort in the right direction does eventually and reliably produce meaningful results in the real world rather than just in the comfortable realm of planning and possibility.</t>
  </si>
  <si>
    <t>When I think about how long I will have been working toward my most important current goals by next year, the honest reflection it prompts is less about the specific duration and more about the quality and consistency of the effort that duration will represent if I continue as I genuinely intend to do. Goals that matter tend to require sustained engagement over periods that can initially feel discouraging, particularly during the inevitable stretches where progress is slow and difficult to measure or clearly see even when it is genuinely happening beneath the surface. What I have come to understand through previous experience of pursuing goals over extended periods is that the discipline required to keep working consistently during those slow and unrewarding stretches is precisely what distinguishes goals that are genuinely achieved from those that are merely pursued enthusiastically for a while before attention and motivation drift toward something newer and more immediately rewarding and satisfying.</t>
  </si>
  <si>
    <t>Partially, I think, as some goals are genuinely close to being achieved while others will clearly require considerably more sustained time and effort beyond next year.</t>
  </si>
  <si>
    <t>By next year I expect to have made genuinely significant progress toward my main career goals without necessarily having reached the furthest and most ambitious of them entirely, which feels like an honest and realistic assessment of where things actually stand rather than either comforting optimism or unnecessary pessimism. The goals I set myself are deliberately ambitious enough that reaching them quickly would suggest I had not aimed quite high enough in the first place. Progress that is real and clearly visible but that still leaves meaningful work ahead is actually closer to what genuinely motivated and sustained effort over a significant period tends to produce at any given intermediate point along the way.</t>
  </si>
  <si>
    <t>Whether I will have reached my career goals by next year depends significantly on which specific goals you are asking about, as I maintain goals at different time horizons that serve genuinely different purposes in how I think about and navigate my professional development over time. The shorter term and more specific goals, the skills I am developing, the projects I am completing, and the relationships I am building, should be largely achieved or well advanced by then if I maintain current focus and effort levels consistently. The longer term and more ambitious goals around the kind of contribution I want to be making and the level of genuine expertise and recognised authority I want to have developed in my field will still be clearly works in progress, which is exactly how it should be given how long and how demanding a process genuine mastery and significant professional impact actually require from anyone pursuing them with the seriousness they genuinely deserve.</t>
  </si>
  <si>
    <t>Possibly, yes, as I try to remain genuinely open to the right opportunity if and when it presents itself in a compelling and clearly worthwhile form.</t>
  </si>
  <si>
    <t>Looking for a new job is not something I am actively planning or pursuing right now, but I try to maintain an honest and realistic openness to the possibility that the right opportunity might arise in a form worth seriously considering and engaging with properly. I think the wisest approach to career management is neither actively job seeking when you are reasonably content nor closing yourself off entirely to genuine opportunities that could represent real and meaningful steps forward in direction or capability or both. Staying genuinely curious about what is available and what others are building and creating in your field seems important regardless of whether active transition is currently on the agenda.</t>
  </si>
  <si>
    <t>The question of whether I will look for a new job in the future is one I prefer to hold with deliberate openness rather than either firm commitment or firm resistance, as both of those extremes seem to me less wise and ultimately less honest than a more nuanced and genuinely responsive approach to how professional circumstances and opportunities evolve over time in ways that are not entirely predictable in advance. What I have come to believe about career management is that the wisest posture is one of genuine engagement with your current role and its real possibilities alongside maintained awareness of what else is happening in your field and what opportunities are emerging that might represent genuinely meaningful and valuable next steps. The decision to move should ideally be driven by genuine pull toward something better and more aligned rather than simply by push away from something that has become uncomfortable or insufficiently rewarding, as the former produces significantly better outcomes in my experience than the latter.</t>
  </si>
  <si>
    <t>Yes, I have a fairly clear direction in mind and am actively working toward deeper expertise and genuinely greater impact in the specific areas that matter most to me.</t>
  </si>
  <si>
    <t>My career plans are clear enough in their broad direction to provide genuine orientation and meaningful daily motivation while remaining flexible enough in their specific details to adapt intelligently to how circumstances and opportunities actually evolve over time in ways that careful advance planning cannot fully anticipate or control. I know what I want to become better at, what kinds of contribution I want to be making, and what kinds of professional relationships and reputation I want to build over the coming years. Those directional commitments feel genuinely solid and worth sustaining, even as the specific path toward them remains appropriately open and adaptive.</t>
  </si>
  <si>
    <t>My career plans reflect what I hope is a genuinely realistic balance between having clear enough direction to make consistent and purposeful daily choices and remaining genuinely open enough to the unexpected to adapt when important new information or opportunities emerge that the original plan did not and could not fully anticipate in advance. The clearest and most settled aspect of my career thinking is around the kind of expertise and genuine capability I want to develop over the next several years, which requires consistent investment in specific skills and knowledge areas regardless of which specific roles or organisations end up providing the context for doing that development. The less settled and more open aspects concern specific positions, organisations, and the exact shape of how the expertise I am building will best express itself in genuinely meaningful contribution and impact. I am comfortable with that combination of settled and open, having learned from experience that careers rarely unfold exactly as planned and that some of the most valuable professional developments emerge from unexpected directions that careful advance planning would never have generated on its own.</t>
  </si>
  <si>
    <t>Yes, I am seriously considering doing a postgraduate course soon to deepen my expertise in a specific and genuinely important professional area of study and practice.</t>
  </si>
  <si>
    <t>Education is something I plan to keep actively investing in, even entirely outside of formal academic institutions and traditional structured learning settings. I have been carefully looking into online certifications that would complement my current professional role quite well and effectively in practical terms. Ideally, I would genuinely love to pursue a master's degree within the next few years if the right opportunity presents itself and the timing works out in a way that makes it genuinely feasible and worthwhile.</t>
  </si>
  <si>
    <t>I have always genuinely seen education as a lifelong commitment and ongoing process rather than something that simply and definitively ends once you receive a degree or formal qualification and move on to professional life. Right now I am actively exploring options for postgraduate study, particularly in areas closely related to data science and emerging technology fields that I find both intellectually compelling and professionally relevant in ways that make the investment feel genuinely justified and worthwhile. I have also been taking shorter online courses to keep my skills genuinely current, which I find incredibly accessible and practically useful for my actual day to day work in ways that longer and more formal programmes cannot always replicate or provide as directly. Beyond formal qualifications, I try to read widely and attend relevant industry events whenever I possibly can to stay informed, connected, and genuinely engaged with the broader intellectual community in my field.</t>
  </si>
  <si>
    <t>Absolutely, as I would genuinely love to study psychology or philosophy properly if I ever had the real chance and the right circumstances to do so seriously.</t>
  </si>
  <si>
    <t>I do think about studying something quite different from my current background, and I genuinely find the whole idea exciting and deeply appealing to consider seriously and without immediately dismissing it as impractical. There are fascinating fields I have become increasingly curious about, particularly neuroscience and philosophy of mind, that I never had the real opportunity to formally explore during my earlier formal education. Returning to study as a considerably more experienced and self aware adult would be a completely different and much richer and more personally rewarding experience than studying at a younger age ever was or could have been for me.</t>
  </si>
  <si>
    <t>The idea of studying something entirely and excitingly different is one I return to with genuine seriousness fairly regularly, and I think it honestly reflects how much my intellectual interests and curiosities have evolved and changed since I was making important educational decisions at the relatively young age of eighteen with a much more limited understanding of myself and what I genuinely found most compelling and worth sustained serious engagement. If I were starting completely fresh today with everything I now know about myself and about the world, I would probably choose something at the fascinating intersection of psychology, technology, and society, a combination that feels both increasingly relevant to the most important questions of our time and endlessly interesting and intellectually rewarding to me personally. I have started carefully exploring some of these areas through online courses and books, and learning with genuine personal curiosity rather than academic pressure or external obligation is far more enjoyable and deeply rewarding than I remember formal study ever feeling when I was younger and less clear about why any of it genuinely mattered.</t>
  </si>
  <si>
    <t>Yes, I plan to gain some genuinely substantial practical experience first before potentially pursuing further academic study or more specialised professional training.</t>
  </si>
  <si>
    <t>After graduation my main plan is to find a role that allows me to apply what I have learned in genuinely real and demanding contexts while continuing to develop rapidly in the areas where my formal education has laid important but inevitably incomplete foundations. I am also very open to opportunities that were not on my radar during my studies, having come to understand that the most valuable early career experiences are not always the most obviously prestigious or conventionally desirable ones when viewed from the necessarily limited perspective available during formal education. The priority is genuine learning and real development rather than status or immediate compensation.</t>
  </si>
  <si>
    <t>My plans for after graduation reflect what I hope is a genuinely realistic and grounded understanding of what the transition from formal education to professional life actually requires and what it genuinely takes to make that transition as meaningfully developmental as possible rather than simply surviving it and making the obvious and safe choices that present themselves most readily. The primary goal is to find a professional context that offers real challenges, genuine mentorship, and meaningful exposure to the kinds of problems and decisions that will develop the capabilities I most want and need to build as quickly and as substantively as possible. I am deliberately keeping my options more open than might feel comfortable, having come to believe that the confidence required to commit narrowly too early in a career often rests on far less real self knowledge than it appears to at the time, and that the most valuable early career experiences frequently come from unexpected directions that careful advance planning and overly premature commitment would have made much harder or entirely impossible to access.</t>
  </si>
  <si>
    <t>Doing genuinely meaningful work, with deep expertise and strong relationships built through a decade of deliberate and consistent effort and real sustained commitment.</t>
  </si>
  <si>
    <t>Ten years is a timeframe long enough that specific predictions feel somewhat artificial and inevitably overconfident, but the direction is clear enough to describe with genuine and honest conviction. I see myself with considerably deeper expertise in the areas I care about most, making contributions that are meaningfully more significant than what I can currently manage with my existing knowledge and accumulated experience. The specifics of exact role or organisation matter considerably less to me than the quality and genuine meaningfulness of the contribution I will be in a position to make by then.</t>
  </si>
  <si>
    <t>Projecting ten years forward requires genuinely distinguishing between what I can reasonably predict and what I genuinely hope for, since conflating those two quite different things produces either false and ultimately hollow confidence or unnecessary and unproductive anxiety about factors that genuinely cannot be known in advance. What I can predict with reasonable confidence is continued professional development in a direction that feels genuinely aligned with what I most care about, ongoing evolution in how I think and relate to other people, and the gradual accumulation of the kind of deep knowledge and genuinely trusted relationships that only extended time and sustained and serious investment can reliably produce. What I most genuinely hope for involves a particular quality of daily life, specific kinds of meaningful contribution, and relationships of particular depth and mutual trust, all things I hold with real aspiration and genuine commitment to working toward while maintaining appropriate epistemic humility about what a decade of genuinely unpredictable life will actually deliver in its full complexity.</t>
  </si>
  <si>
    <t>I hope to have done genuinely meaningful work, built deep and lasting relationships, and contributed something real to the people and fields I care most deeply about.</t>
  </si>
  <si>
    <t>By retirement I hope to look back on a professional life characterised more by genuine quality and meaningful contribution than by impressive titles or accumulated achievements measured by purely conventional standards of success. The things I most hope to have achieved are more relational and reputational than material, specifically having been genuinely useful to people who mattered to me, having contributed to work that outlasts my own direct involvement, and having been consistently honest and worthy of the trust placed in me by the people I worked alongside and served throughout an entire working life. Those seem to me the things most worth trying to achieve over any significant professional lifetime.</t>
  </si>
  <si>
    <t>The question of what I hope to have achieved by retirement prompts genuine reflection about what actually matters most over a complete professional lifetime when you strip away the short term concerns and status considerations that inevitably loom large during the middle of a career but tend to look considerably less important when viewed from the kind of long distance that retirement represents. What I most genuinely hope for is not a specific role or title or level of external recognition, though those things are not entirely irrelevant, but something more fundamental and more personally significant. I hope to have developed genuine and lasting expertise that made a real and demonstrable difference to the people and problems I was working with throughout my career. I hope to have been the kind of colleague and collaborator who made other people's work and professional lives genuinely better rather than simply advancing my own position and interests. And I hope to have maintained throughout everything a quality of genuine integrity and intellectual honesty that I would feel comfortable reflecting on without significant regret or the need for the kind of rationalisation that comes from knowing you did not quite live up to your own most important standards.</t>
  </si>
  <si>
    <t>In five years I see myself with meaningfully deeper expertise, greater genuine impact, and a clearer and more settled sense of where I most want to focus my professional energy.</t>
  </si>
  <si>
    <t>Five years is close enough to feel genuinely plannable but far enough away that the plan needs to remain genuinely flexible rather than overly specific and rigidly predetermined. I see myself having made real and concrete progress on the skills and capabilities I am currently developing, having built stronger and more meaningful professional relationships than I currently have access to, and having found ways to contribute more substantially to work I find genuinely and deeply important and worth giving my best effort to every day. The direction is clear even if every specific step along the way is not yet fully visible or mapped.</t>
  </si>
  <si>
    <t>My five year view is deliberately focused on direction and quality of development rather than specific destination or role, which reflects what I have come to believe is a genuinely wiser approach to professional planning than the kind of overly specific goal setting that can produce either unnecessary disappointment when circumstances change in genuinely unforeseeable ways or inadvertent narrowing of valuable opportunities that were not part of the original plan. In five years I hope to have developed significantly deeper expertise in the domains I am currently most seriously investing in, built the kind of professional reputation that opens genuinely interesting and meaningful opportunities rather than just any available ones, and found ways to do work that I feel honestly proud of rather than merely satisfactorily competent at. Beyond the professional dimension, I also hope to have maintained and further developed the personal relationships and the health habits that support everything else I am trying to build and sustain.</t>
  </si>
  <si>
    <t>Spending several genuinely unhurried months traveling through parts of the world I have never yet had the opportunity or the time to properly explore and experience.</t>
  </si>
  <si>
    <t>One thing I have consistently wanted to do and have not yet managed to make happen is an extended and genuinely slow journey through a part of the world I have never spent enough time in to feel I have truly encountered and understood it beyond the surface impressions of brief tourist visits. There is a quality of understanding that only extended and genuinely slow immersion in a place and its culture can produce, and that is something I want to experience much more fully and deliberately than my travel life to date has given me the genuine opportunity to do.</t>
  </si>
  <si>
    <t>The item on my bucket list that comes to mind most readily and most consistently when I honestly reflect on what I most genuinely want to experience before my opportunities to do so have passed is an extended and deliberately slow journey through a part of the world I have only ever skimmed the surface of during brief visits constrained by the limited time that ordinary professional life routinely makes available for genuinely ambitious travel. The specific appeal is not adventure or novelty for its own sake but something more considered and more deeply satisfying, the particular quality of understanding that only genuine immersion and sustained presence in a culture and landscape very different from your own can honestly and completely provide. That kind of slow and attentive travel feels like one of the most genuinely valuable uses of significant time that anyone with the privilege of choosing how to spend extended periods of unobligated time could possibly make.</t>
  </si>
  <si>
    <t>Not a strict formal diet, but I do intend to keep eating more mindfully and deliberately than I have in less organised and more chaotic periods of my life.</t>
  </si>
  <si>
    <t>I am not planning to follow a specific or highly structured diet in the formal sense, as my experience with them suggests that the rigidity they require tends to create an ultimately unhealthy relationship with food that is not sustainable over any genuinely extended period for most people including myself. What I am committed to is continuing to make generally better and more thoughtful and deliberate everyday choices around what I eat, with a particular focus on eating more whole foods, fewer processed ones, and remaining genuinely mindful of how different eating patterns actually affect how I feel and function day to day.</t>
  </si>
  <si>
    <t>Following a special or highly structured diet is not something I plan to do in any formal or rule governed sense, having reached the clear conclusion through considerable personal experience and honest reflection that the kind of rigid dietary frameworks that define success entirely in terms of perfect compliance tend to produce exactly the kind of all or nothing thinking that makes sustainable long term healthy eating genuinely more difficult rather than more achievable for most people including me. What I am committed to doing instead is continuing to build and refine genuinely good everyday habits around food that are flexible enough to survive the inevitable social occasions, busy periods, and simple human moments of weakness and enjoyment that a sustainable approach to eating has to be designed to accommodate rather than treat as failures requiring correction or punishing restriction.</t>
  </si>
  <si>
    <t>By next year I will have been eating considerably more healthily and deliberately for about eighteen months, which already feels like a genuinely meaningful and sustainable change.</t>
  </si>
  <si>
    <t>By next year my improved eating habits will have been in place for long enough that they should feel fully established and genuinely natural rather than effortful and consciously maintained in the way that new habits always initially require. That transition from deliberate and somewhat effortful compliance to genuinely automatic and comfortable behaviour is something I look forward to reaching and consolidating, as it represents the point where a changed pattern of eating becomes genuinely your default rather than something you are actively choosing against a competing default that pulls in a less healthy direction.</t>
  </si>
  <si>
    <t>When I think about how long I will have been following significantly healthier eating habits by next year, the honest reflection it prompts is less about the specific duration in months and more about the genuinely meaningful quality of change that duration will represent if I continue as I genuinely intend and am currently managing to do. The improvements I have made to my diet over the past period have been real and measurable in their effects on how I feel and function, but the most important thing about them is not that they happened but that they have been gradually consolidating into something that feels increasingly natural and sustainable rather than effortful and fragile. By next year, if that trajectory continues as I expect and hope it will, the healthier eating patterns I have established should feel like genuine expressions of who I am and how I live rather than disciplines I am imposing on a set of preferences and habits that have not fundamentally changed.</t>
  </si>
  <si>
    <t>Quite possibly, as I have been seriously considering trying cycling more regularly, which would complement my existing running and swimming habits very nicely indeed.</t>
  </si>
  <si>
    <t>I am genuinely considering taking up a new physical activity within the coming year, having reached a point in my current exercise routine where adding something genuinely different and technically challenging would provide both useful physical variety and a fresh and stimulating learning experience. Cycling has been on my mind for some time as something that would complement my existing habits well while introducing a different kind of physical demand and a different relationship with outdoor movement and exploration.</t>
  </si>
  <si>
    <t>Whether I will have taken up a new sport by next year depends significantly on how seriously I pursue several possibilities I have been genuinely considering rather than simply thinking about in an abstract and uncommitted way. Cycling is the most consistently attractive option, partly for the physical and cardiovascular benefits it would add to my existing exercise repertoire and partly for the particular quality of outdoor exploration and movement it enables that running and swimming do not replicate in quite the same way. I am also genuinely curious about climbing, which offers a completely different kind of physical and mental challenge that I find interesting and appealing precisely because it would require developing capabilities I do not currently have and engaging with physical problem solving in ways that my existing exercise habits do not demand or develop. The honest answer is that my intention is clear and my interest is real, and whether it translates into actual committed action within the next year will depend on making the first deliberate and concrete steps rather than continuing to hold it as an appealing and perpetually deferred future possibility.</t>
  </si>
  <si>
    <t>Partially, I think, as some are genuinely close to being fully realised while others will clearly require meaningfully more sustained time and consistent effort to achieve completely.</t>
  </si>
  <si>
    <t>By next year I expect to have made genuinely significant and concrete progress toward my main health goals without necessarily having reached the most ambitious of them entirely, which feels honest and realistic rather than either falsely optimistic or unnecessarily discouraging. Health goals that are genuinely worth having tend to be ones that take real and sustained time to achieve properly, and I am increasingly comfortable with progress that is real and clearly visible even when it has not yet reached its ultimate intended destination or fully realised its complete ambition.</t>
  </si>
  <si>
    <t>My honest assessment of whether I will have achieved my health goals by next year involves distinguishing carefully between the different types and time horizons of goals I have set for myself in this area, which vary considerably in their expected difficulty, timeline, and the degree to which they are genuinely within my direct and reliable control versus dependent on factors that I can influence but cannot entirely determine. The shorter term and more behavioural goals around consistency of exercise, quality of sleep, and overall dietary patterns should be genuinely well advanced or fully achieved if I maintain current momentum and commitment. The longer term and more outcomes focused goals around specific fitness levels or measurable health markers will likely show real and meaningful progress without necessarily being fully complete, which is exactly the relationship with long term health goals I think is most honest and most sustainable to maintain across any significant period of genuine effort and attention.</t>
  </si>
  <si>
    <t>Yes, I genuinely believe so, as I have already made meaningful and noticeable improvements to how I recognise and respond to stress in my daily life.</t>
  </si>
  <si>
    <t>By next year I expect to have meaningfully better stress management than I currently practice, both because I have been actively working on it for some time with genuine commitment and because the specific habits and strategies I have been developing should be considerably more consolidated and reliably accessible under actual pressure than they currently are in any given genuinely demanding moment. Stress management is one of those capabilities that improves with genuine practice and real experience in ways that read about approaches and good intentions cannot quite replicate or substitute for.</t>
  </si>
  <si>
    <t>Whether I will have been managing stress better by next year is a question I can answer with genuine and grounded optimism rather than simply hopeful expectation, because the work I have been doing on this specific area of my functioning has already produced measurable and noticeable improvements in how I recognise stress building in myself, how quickly I am able to intervene before it reaches genuinely counterproductive levels, and how effectively I am able to use the specific strategies I have developed and refined through real experience of applying them under actual pressure. The improvements are real but still developing, and by next year they should be more deeply consolidated and more reliably accessible in the specific moments where they matter most, which is genuinely the test of whether any stress management approach has become a true and durable capability rather than simply a technique that works in controlled and comfortable practice but fails to transfer to genuinely challenging real situations.</t>
  </si>
  <si>
    <t>Quite possibly, as I have been seriously considering learning to play piano properly, which is something I have wanted to do for many years without yet actually committing to it.</t>
  </si>
  <si>
    <t>Starting a new hobby is something I am genuinely open to rather than actively planning in any very specific or committed way at this particular moment, as I am currently still deepening engagement with existing interests that have not yet reached anything close to the ceiling of what they can offer me in terms of continued learning, challenge, and genuine enjoyment. That said, there are a few possibilities I have been keeping in mind and returning to with persistent curiosity, particularly learning piano and exploring ceramics, either of which would offer a genuinely different kind of creative engagement from what I currently practice regularly.</t>
  </si>
  <si>
    <t>Whether I will start a new hobby in the near future is a question I find genuinely interesting to sit with honestly, because it requires me to examine the gap between what I find appealing and intriguing in the abstract and what I am actually willing to commit real and limited time and sustained energy to developing properly in practice. There are several things I have been curious about for some time, piano being the most persistent and consistently returning of them, but the honest reality of my current schedule and the genuine depth of engagement I am still finding in existing hobbies makes adding something new a more complex and less straightforwardly positive decision than it might initially appear. The most honest answer is that I will start something new when I can honestly say that I have both genuine and sustained curiosity about it and sufficient available time and energy to engage with it properly rather than superficially, since the latter without the former tends to produce exactly the kind of guilt inducing abandoned hobby that leaves you feeling worse rather than better about how you are choosing to spend your genuinely limited and precious time.</t>
  </si>
  <si>
    <t>Yes, definitely, as learning another language is one of the most genuinely rewarding and intellectually stimulating things I have ever undertaken in my life.</t>
  </si>
  <si>
    <t>Learning another foreign language is something I genuinely want to do and think about with real and consistent enthusiasm whenever I allow myself the pleasure of imagining what a slightly different version of my current life with more available time and fewer competing obligations might look like. The cognitive and cultural benefits of language learning are things I have experienced directly through previous study, and knowing from genuine personal experience how enriching and genuinely transformative the process can be makes the desire to do it again with a new language feel both very real and very motivating as an aspiration worth taking seriously and working toward actively.</t>
  </si>
  <si>
    <t>My desire to learn another foreign language is genuine and has been consistent for long enough that I think it deserves more serious and committed action than I have managed to give it amid the competing demands and genuine busyness of my current life. The experience of learning a language, with all its humbling early difficulty and its gradually accumulating and deeply satisfying rewards as comprehension and expression develop, is one that I know from direct personal experience to be among the most genuinely valuable and enduringly enriching things a person can commit sustained time and real effort to across any meaningful period. The specific language I would most want to learn next has shifted with changing personal and professional interests over time, but the commitment to doing it seriously and with genuine patience and sustained investment rather than in a dilettantish and ultimately unproductive way feels genuinely clear and worth honouring through actual consistent action rather than perpetually appealing intention.</t>
  </si>
  <si>
    <t>Always, yes, as more reading is one of those improvements to my daily life that I am consistently and reliably certain would make almost everything else genuinely better and richer.</t>
  </si>
  <si>
    <t>Reading more books is genuinely one of my most consistent and deeply felt aspirations, and it is also one of the things I feel most honest guilt about when I reflect on how much time gets absorbed by forms of content consumption that are considerably less valuable and enriching than the books I could be reading instead if I were making more deliberately considered choices about how I spend available time. The problem is never motivation, as I genuinely love reading in a way that is deep and lasting and not at all effortful to access when I actually sit down with a good book and give it proper attention. The problem is always the competing demands on time and attention that make sustained reading feel like something requiring deliberate protection rather than something that simply happens as a natural feature of daily life.</t>
  </si>
  <si>
    <t>The desire to read more books is one that I hold with complete genuineness and that has been a consistent feature of my inner life for as long as I can honestly remember across many years and many different life circumstances and competing demands. What I find most interesting and somewhat revealing about this persistent aspiration is that it coexists with already reading quite a lot by most reasonable standards, which suggests that the desire is less about reading more than I currently do in any absolute sense and more about protecting and prioritising reading time more deliberately and consistently against all the various other claims on available time that are always present and always ready to expand if given the opportunity and the permission to do so. Reading represents for me a form of genuine intellectual and imaginative engagement that I find uniquely valuable and irreplaceable, and the desire to do more of it is ultimately a desire to spend more of my genuinely limited time on things that provide lasting value rather than simply filling available hours with easier and more passive forms of consumption that require less of me and give correspondingly less in return.</t>
  </si>
  <si>
    <t>Yes, I plan to start a course in data science very soon, as it feels both genuinely exciting and directly relevant to where I want my career to develop next.</t>
  </si>
  <si>
    <t>Studying something new in the near future is something I am actively planning rather than simply considering in a general and uncommitted way, having identified a specific area of knowledge and capability that I want to develop much more seriously and systematically than my current level of self directed learning has managed to produce so far. The course I have in mind would build on skills I have already begun developing independently while providing the structured progression and genuine accountability that self directed study alone struggles to consistently provide over an extended period without some form of external structure and commitment.</t>
  </si>
  <si>
    <t>Yes, studying something genuinely new in the near future is not just an aspiration but an active plan I have been working toward in practical terms rather than simply holding as a pleasant and perpetually deferred intention. The specific area I intend to study more seriously and systematically addresses a genuine gap in my current capabilities that I have become increasingly aware of through my professional work, and the motivation to address it is therefore grounded in real and concrete need rather than simply abstract curiosity or the general sense that more learning is always a good thing worth pursuing. What I am most looking forward to about engaging with genuinely new material in a structured way is the particular quality of directed and progressive learning that good educational programmes provide, which produces a different and in some ways deeper kind of understanding than the self directed and inevitably somewhat scattered approach to keeping current that most working professionals rely on for most of their ongoing professional development throughout their careers.</t>
  </si>
  <si>
    <t>Most likely online, as the flexibility it offers fits genuinely well with my current work commitments and overall daily schedule.</t>
  </si>
  <si>
    <t>Online study is almost certainly the more realistic and practical option for me given my current professional commitments and the genuine difficulty of consistently attending fixed schedule in-person sessions without significant disruption to everything else. That said, I genuinely value the particular quality of learning that in-person environments can provide, and I would consider a hybrid arrangement if something genuinely worthwhile and practically feasible presented itself. The format matters considerably less to me than the quality of the content and the genuine rigour of the learning experience it provides.</t>
  </si>
  <si>
    <t>The honest answer about whether I will be studying online or in person reflects a genuine tension between what I find most educationally valuable and what is realistically compatible with my current life circumstances and existing commitments. In-person learning offers qualities of spontaneous discussion, direct mentorship access, and shared intellectual energy that online formats approximate but do not fully replicate in my experience of both. Online study offers flexibility, accessibility, and the ability to engage with genuinely high quality content from anywhere in the world without the logistical constraints that fixed schedule in-person attendance inevitably imposes. Given my current situation, online study is the more realistic option and also, I think, a genuinely good one for the specific kind of skills based learning I have in mind, where the format disadvantages are less pronounced than they would be for subjects that benefit more centrally from real time dialogue and collaborative problem solving in shared physical space.</t>
  </si>
  <si>
    <t>Yes, by next year I will have been studying English seriously for several years, which makes the progress I have made feel genuinely significant and deeply encouraging.</t>
  </si>
  <si>
    <t>By next year my English study will have been underway for long enough that the cumulative investment of sustained time and consistent effort should be clearly visible in genuinely improved capability and real communicative confidence rather than remaining matters of aspiration and gradual invisible progress that is difficult to see or measure clearly from the inside. That visibility of real accumulated progress is something I genuinely look forward to, not primarily for any external validation it might bring but for the internal confirmation that the sustained effort has been producing genuine and meaningful results worth continuing to invest in seriously.</t>
  </si>
  <si>
    <t>When I consider how long I will have been studying English by next year, the more interesting and genuinely useful reflection is less about the duration itself and more about what that duration will actually represent in terms of real and consolidated capability if I continue studying with the same level of genuine commitment and deliberate practice that I have been bringing to it across the period leading up to now. Duration of study is a genuinely poor proxy for actual language learning progress unless the time involved has been characterised by the kind of active and demanding practice that actually drives real acquisition rather than simply the kind of passive exposure that accumulates time without necessarily producing proportionate improvement in genuine communicative ability. My goal is to ensure that the years I will have invested by next year represent something genuinely substantial in real capability terms rather than simply a long period of low intensity and ultimately insufficient engagement with the language and its genuine demands.</t>
  </si>
  <si>
    <t>Not all of them, no, but the most essential and immediately relevant ones should be genuinely well developed and reliably accessible by then.</t>
  </si>
  <si>
    <t>By next year I expect to have made genuinely substantial progress on the most critical skills I am currently developing without claiming to have reached anything like a complete or fully satisfactory level across every dimension that truly matters for where I am trying to go professionally. Skills worth developing seriously tend to have a depth that resists any comfortable notion of completion, and I am increasingly comfortable with ongoing development as a permanent feature of professional life rather than something that eventually reaches a final and satisfactory endpoint.</t>
  </si>
  <si>
    <t>Whether I will have learned all the necessary skills by next year depends significantly on how honestly and completely I define what the necessary skills actually are, which is itself a genuinely interesting and important question worth thinking about carefully rather than answering too quickly with comfortable imprecision. The core technical and communicative skills that are most directly and immediately relevant to my near term professional goals should be meaningfully more developed and genuinely more reliable under real pressure by next year if I maintain current levels of deliberate practice and sustained commitment. The broader and deeper capabilities that distinguish genuine mastery from merely adequate competence will still be clearly works in progress, as they should be at any intermediate point in a genuine learning journey of real substance and ambition. I am comfortable with that honest assessment, having learned from experience that the illusion of completion is considerably more dangerous to ongoing development than the honest acknowledgment of how much genuinely important work remains to be done.</t>
  </si>
  <si>
    <t>Yes, I am planning to take a significant professional exam in the coming months, which is both genuinely exciting and honestly quite daunting to contemplate.</t>
  </si>
  <si>
    <t>Taking an important exam is something I am actively preparing for rather than simply considering, which makes the question feel considerably more immediate and real than it might otherwise. The preparation has been demanding and sometimes genuinely discouraging in the way that serious exam preparation inevitably is at certain points, but I am making real and measurable progress and feel increasingly confident that the effort is genuinely building toward something substantial and worth the sustained investment it is requiring from me. The exam itself represents a meaningful milestone rather than simply a hurdle, which helps maintain motivation through the more difficult stretches of preparation.</t>
  </si>
  <si>
    <t>Taking important exams is genuinely part of my near term plans, and the honest reflection that prompts is less about whether I will do it and more about how I want to approach the preparation and the exam itself in a way that maximises what I genuinely learn and develop through the process rather than simply optimising for passing in the narrowest and most efficient sense possible. The most valuable outcomes of serious exam preparation are not always the credential itself but the systematic consolidation of knowledge and the habits of sustained intellectual effort under real pressure that the preparation process demands and develops if approached with genuine seriousness and proper commitment. I want to take the exam prepared well enough that the result accurately reflects real capability rather than either underperforming relative to what I actually know or performing adequately through pure exam technique without the underlying genuine understanding that would make the credential honestly meaningful and professionally useful beyond the credential itself.</t>
  </si>
  <si>
    <t>Yes, I am seriously considering doing a postgraduate course soon to deepen my expertise in a specific and genuinely important professional area of knowledge and practice.</t>
  </si>
  <si>
    <t>Education is something I plan to keep actively investing in, even entirely outside of formal academic institutions and traditional learning structures and settings. I have been carefully looking into online certifications that would complement my current professional work quite well and effectively in genuinely practical terms. Ideally, I would genuinely love to pursue a master's degree within the next few years if the right opportunity presents itself and the conditions make it realistically feasible and clearly worthwhile for where I want to go.</t>
  </si>
  <si>
    <t>I have always genuinely seen education as a lifelong commitment and ongoing process rather than something that simply and definitively concludes once you receive a formal qualification and move on into professional life. Right now I am actively exploring options for postgraduate study, particularly in areas closely related to data science and emerging technology fields that I find both intellectually compelling and professionally relevant in ways that make sustained investment feel genuinely justified. I have also been taking shorter online courses to keep my skills meaningfully current, which I find incredibly accessible and practically useful for my actual day to day work in ways that longer and more formal programmes cannot always replicate as directly or as immediately. Beyond formal qualifications, I try to read widely and attend relevant events whenever I possibly can to stay genuinely informed, meaningfully connected, and actively engaged with the broader intellectual community in my field.</t>
  </si>
  <si>
    <t>I would like to be remembered as someone who was genuinely helpful and consistently honest, who made the people around them feel genuinely valued and meaningfully supported.</t>
  </si>
  <si>
    <t>The legacy I most genuinely want to leave is less about specific achievements or publicly recognised accomplishments and more about the quality and character of how I engaged with people and work throughout my entire life. Being someone who consistently told the truth even when it was uncomfortable, who genuinely invested in others' development and success, and who contributed meaningfully to things that outlasted their direct personal involvement feels more genuinely important and worth working toward than any specific external marker of conventional success that might be more visible but less truly meaningful.</t>
  </si>
  <si>
    <t>Thinking seriously about legacy requires an honest examination of what I genuinely believe matters most in a complete human life, which is a question I find considerably more interesting and revealing than the more comfortable version that focuses on professional achievements and public recognition. The legacy I most genuinely want to leave is woven through the ordinary texture of daily interactions and sustained commitments rather than concentrated in any single dramatic accomplishment or publicly celebrated moment. I want the people who knew me well to remember someone who was reliably honest even when honesty was inconvenient or unwelcome, genuinely curious about ideas and about other people rather than primarily interested in their own perspective and its validation, and consistently willing to invest real time and genuine care in others' development and wellbeing without keeping careful score of what was being returned. That kind of legacy is built one interaction and one decision at a time over many years, which makes it both deeply meaningful and genuinely demanding to actually achieve in practice.</t>
  </si>
  <si>
    <t>One built on genuine honesty, sustained kindness, and real contributions to the people and causes that genuinely and deeply mattered to me throughout my life.</t>
  </si>
  <si>
    <t>The legacy I most hope to leave behind is one characterised more by genuine quality of character and meaningful contribution than by impressive external achievements measured against conventional standards of success that I have come to question the ultimate value of quite seriously over time. I hope to be remembered as someone who genuinely helped people think more clearly and live more fully rather than someone who simply accumulated impressive credentials and positions while ultimately being less present and less genuinely useful to the people around them than their public profile might suggest. That distinction feels genuinely important and worth working deliberately and consistently toward throughout an entire life.</t>
  </si>
  <si>
    <t>The legacy I most deeply hope to leave behind is one that operates primarily at the human rather than the institutional or publicly celebrated level, because I genuinely believe that is where the most important and most lasting forms of positive impact actually occur in real human lives rather than in the more visible but often less substantial ways that conventional notions of legacy tend to emphasise and celebrate. At the human level, I hope to have been the kind of person whose presence in others' lives made those lives genuinely better in concrete and lasting ways, not through grand gestures or spectacular achievements but through the accumulated weight of consistent honesty, genuine care, real investment in others' growth and flourishing, and the kind of sustained reliability that lets people trust you with things that genuinely matter to them. That kind of legacy cannot be manufactured or announced but only gradually and quietly built through a lifetime of choices that consistently prioritise real goodness over performed virtue or impressive appearance.</t>
  </si>
  <si>
    <t>I have definitely thought about it seriously, as there are several places I find genuinely and increasingly compelling and personally attractive as places to actually live.</t>
  </si>
  <si>
    <t>Moving somewhere genuinely new and different is something I find quite appealing in principle, though I have not yet made any firm or definitive decisions about it in any practical sense. There are a couple of cities I have visited that felt like they could suit my actual lifestyle and daily preferences quite well, offering a better overall quality of life alongside richer cultural dimensions. I think I would need to actually experience living there properly for a sustained period before committing to anything truly permanent or significantly life altering in scale and consequence.</t>
  </si>
  <si>
    <t>I would say I am genuinely and honestly open to the idea of moving somewhere completely new, and it is something I find myself thinking about with increasing seriousness as time passes and my sense of what I genuinely need and value in a daily living environment has become considerably clearer through accumulated experience and honest self reflection. There are specific places I have visited, both domestically and internationally, where the combination of lifestyle, cultural richness, pace, and access to natural surroundings felt much more closely aligned with what I actually want from my daily life than where I currently happen to be living. The main consideration holding me back is not strong emotional attachment to my current location but rather the very real practical complexity of uprooting established relationships, familiar routines, and the accumulated infrastructure of a life built over years in one place. If the right opportunity genuinely and clearly presented itself in a compelling and concrete form, I would take it very seriously and engage with it with genuine openness rather than reflexive resistance.</t>
  </si>
  <si>
    <t>Yes definitely, as I would genuinely love somewhere with more outdoor space and considerably more natural light throughout the entire day.</t>
  </si>
  <si>
    <t>Moving to a different home is something I think about, particularly when I imagine what my life might realistically look like in five or ten years and what physical environment would genuinely serve that life best. I would love more natural outdoor space and perhaps a slightly quieter and more genuinely peaceful neighbourhood than where I currently live. The challenge as always is timing and the very real practical difficulty of making such a significant and expensive life change actually work well in practice rather than simply in imagination and aspiration.</t>
  </si>
  <si>
    <t>I think most people carry a fairly vivid version of their ideal home in their imagination that differs meaningfully from where they currently live, and I am certainly no different in that very human and understandable respect. Mine involves considerably more natural light throughout the space, a proper outdoor area for growing things and eating outside during the warmer months of the year, and a slightly quieter and more genuinely peaceful setting than my current one that would promote real rest and genuine daily relaxation more effectively than present circumstances allow. I am not in any particular rush to make this happen, as it is genuinely important to move only when circumstances are truly right rather than simply out of impatience or restlessness that a better location would probably not actually resolve in any lasting way. What I have also learned from moving a few times already is that a home is shaped much more fundamentally by the life you actively and consciously build within it than by its purely physical features and qualities, however important those undeniably are.</t>
  </si>
  <si>
    <t>Definitely, as I am always actively and honestly looking for meaningful ways to improve my daily routines, especially around personal health and sustained mental clarity and focus.</t>
  </si>
  <si>
    <t>There are several habits I would genuinely like to build or meaningfully adjust and improve going forward in my daily life, and I try to approach that aspiration with realistic patience rather than the kind of dramatic overnight transformation that sounds appealing but very rarely produces genuinely lasting results. I want to be more consistent with regular exercise, more deliberate about how I spend my evenings, and considerably better at protecting genuinely focused work time during the most productive part of each day. I truly think habits compound significantly over time in both directions, so being genuinely intentional about them really matters enormously for long term wellbeing and sustained effectiveness.</t>
  </si>
  <si>
    <t>Improving my habits is something I think about quite seriously and with genuine regularity and honest self reflection on a consistent basis, having come to understand clearly that the quality of my daily routines is probably the single most important determinant of how well I function and how genuinely satisfied I feel with how I am living and what I am building across any extended period of time. I am generally fairly self aware about where my current routines are serving me well and where they clearly are not, and I try to adjust gradually and sustainably rather than attempting dramatic overhauls that invariably do not stick for very long before reverting to previous patterns under the inevitable pressure of competing demands and ordinary human weakness and inconsistency. The areas I most urgently want to improve are around focus and digital distraction, as I find it increasingly difficult to do deep and genuinely sustained work without interruption, and around building a more consistent daily movement practice that feels natural and genuinely sustainable rather than effortful and burdensome and easily abandoned when conditions are less than ideal.</t>
  </si>
  <si>
    <t>Yes, genuinely, as living abroad even briefly taught me things about myself and the world that I simply could not have learned any other way or in any other context.</t>
  </si>
  <si>
    <t>Living in a foreign country is something I find genuinely and consistently appealing, both because of what I have already learned from previous experiences of living abroad and because I am aware of how much more there is to discover about myself and about the world through genuine immersion in a genuinely different cultural and social context. The challenges of building a life from scratch in an unfamiliar place are real and significant, but the particular quality of understanding and genuine personal development they produce is something I value very highly and would actively seek out again under the right circumstances and with the right timing.</t>
  </si>
  <si>
    <t>The appeal of living in a foreign country is something I hold with genuine seriousness rather than purely as an abstract romantic aspiration, having had direct personal experience of both the genuine richness and the very real difficulties that such a choice involves in practice. What living abroad taught me most clearly is that the discomfort of genuine unfamiliarity and the effort of building everything from scratch in a new context produces a quality of personal growth and expanded perspective that comfortable and familiar environments simply cannot replicate regardless of how genuinely good those environments might be in other important respects. I would absolutely consider living abroad again under the right circumstances, with the key considerations being the specific place, the specific opportunity it would provide professionally and personally, and the life stage at which such a potentially significant disruption would produce genuine net benefit rather than simply cost and difficulty without proportionate return.</t>
  </si>
  <si>
    <t>Outside, I think, as I increasingly value genuine quiet, easy access to nature, and a slower and more genuinely human pace of daily life and movement.</t>
  </si>
  <si>
    <t>My preference has shifted quite noticeably over time from a strong and confident preference for city center living toward something considerably more nuanced and honest that weighs the very real benefits of urban accessibility against the equally real costs of constant noise, density, and the particular quality of low grade stress that very dense urban environments tend to produce in me over extended periods. Outside the city center but within reasonable access of it feels like the most genuinely honest answer to where I would most like to live at this stage of my life and given what I genuinely know about my own needs and preferences.</t>
  </si>
  <si>
    <t>The city center versus outside the city question is one where my honest preference has evolved considerably as my priorities have changed and as I have accumulated genuine experience of living in quite different environments at different stages of my life. When I was younger and less clear about what I actually needed from my daily living environment, the energy, variety, and social richness of city center living felt unambiguously superior and clearly desirable in ways that were difficult to seriously question or complicate. As I have gotten older and more honestly self aware about what genuinely supports my best functioning and most meaningful daily life, the appeal of somewhere quieter, greener, and more human in scale has grown substantially while my need for the kind of stimulation that only true urban density reliably provides has diminished in a way that feels genuinely true rather than simply a rationalisation of decreasing energy or social ambition.</t>
  </si>
  <si>
    <t>Absolutely yes, and I have very clear and specific ideas about exactly what I would do with it rather than simply filling it with more of the same.</t>
  </si>
  <si>
    <t>More free time is something I genuinely want, though I have also come to understand through honest reflection that the quality and intentionality with which I use time matters considerably more than its sheer quantity in determining how satisfying and genuinely meaningful my days actually feel. What I most want is not more time in the abstract but more genuine space for the specific activities and relationships that currently get consistently squeezed out by competing demands that feel urgent without always being truly important or irreplaceable.</t>
  </si>
  <si>
    <t>The desire for more free time is one I hold with considerable honesty about what I would actually do with it versus what I like to imagine I would do with it in comfortable hypothetical thinking. I genuinely believe I would use significant additional free time well and in ways that would make my life richer and more satisfying, because the things I most want to do with more time, deeper reading, more ambitious cooking, more sustained time outdoors, and more genuinely present and unhurried time with people I love, are all things I already actively pursue and genuinely value when opportunity allows rather than things I only imagine I would value if circumstances were different. The honest complication is that unstructured time without a clear and motivating purpose can also become a source of its own anxieties and dissatisfactions, which suggests that what I most genuinely want is not simply more time but more meaningful time with clearer and more confident sense of what it is genuinely for.</t>
  </si>
  <si>
    <t>Always, yes, as trying genuinely new food is one of the simplest and most immediately rewarding ways to encounter a completely different culture and way of seeing the world.</t>
  </si>
  <si>
    <t>Trying new types of food is something I pursue with genuine enthusiasm rather than simply tolerating as an occasional obligation of adventurous living. Food is one of the most immediate and direct windows into a culture and its values, history, and relationship with the natural world, and approaching it with genuine curiosity and real openness consistently produces both extraordinary sensory experiences and meaningful cultural understanding that more conventional forms of cultural engagement do not always provide as directly or as memorably.</t>
  </si>
  <si>
    <t>My enthusiasm for trying new types of food is genuine and has been a consistent and deeply valued feature of how I approach both travel and everyday life at home for as long as I can honestly remember thinking about food with any real seriousness and curiosity. What I find most genuinely fascinating about encountering genuinely unfamiliar food is the combination of immediate sensory experience and gradual cultural understanding that it provides, as the specific flavours, textures, and techniques of any food tradition carry within them the accumulated history, available ingredients, social customs, and aesthetic values of the people who developed and maintained them across generations. Approaching genuinely new food with that kind of interested and respectful attention rather than simple novelty seeking or polite tolerance produces a completely different and far richer quality of experience that I find consistently rewarding and genuinely expanding in how it shapes my understanding of human diversity and the extraordinary range of ways that people have found to nourish themselves with beauty and care and considerable ingenuity.</t>
  </si>
  <si>
    <t>Yes, somewhat, as some new commitments and shifting priorities will naturally require meaningful adjustments to how I currently structure and spend my time.</t>
  </si>
  <si>
    <t>Some changes to my daily routine are coming whether I deliberately plan them or simply respond to shifting circumstances and new demands, and I think the wiser approach is to shape those changes deliberately and thoughtfully rather than simply letting them happen reactively and then trying to manage whatever results. There are specific adjustments I want to make proactively, particularly around protecting morning time for genuinely focused work and building more consistent movement into the middle of the day rather than leaving it as an afterthought that gets sacrificed when other demands accumulate.</t>
  </si>
  <si>
    <t>Changes to my daily routine are something I approach with genuine care and deliberate thought rather than either resisting all change as threatening to hard won stability or embracing change enthusiastically without sufficient consideration of what the existing routine is genuinely providing that any proposed replacement would need to account for and preserve. The routines I have built over time are not arbitrary but represent accumulated learning about what conditions actually support my best functioning and most genuine wellbeing, which means changing them deserves the same quality of honest attention I would bring to any other significant decision about how I live and work. That said, I am very clear that some aspects of my current routine have become genuinely outdated relative to how my priorities and circumstances have evolved, and those deserve to be updated thoughtfully rather than preserved out of inertia disguised as principled consistency.</t>
  </si>
  <si>
    <t>Yes, I am planning to try climbing and possibly ceramics, both of which offer genuinely different kinds of challenge from what I currently practice and enjoy.</t>
  </si>
  <si>
    <t>Trying new activities is something I am actively planning rather than simply keeping as an appealing open possibility that never quite gets converted into actual committed action. There are a couple of things I have been returning to with persistent curiosity for long enough that it feels genuinely time to stop simply thinking about them and actually begin engaging with them in a real and committed way. The combination of physical and creative challenge that certain activities offer is particularly appealing, as I find that activities engaging multiple dimensions simultaneously tend to hold my sustained interest and commitment more effectively than purely single dimension pursuits.</t>
  </si>
  <si>
    <t>Whether I will be trying new activities soon is a question I can answer with genuine and grounded optimism rather than simple aspiration, because I have already taken the specific steps of researching options and making provisional plans rather than simply continuing to hold the intention in the comfortable realm of appealing future possibility. The activities I am most seriously considering combine genuine physical engagement with a clear technical learning curve that would keep them interesting and progressively challenging over a sustained period rather than becoming quickly routine and insufficiently demanding. What I have learned from previous experience of taking up new activities is that the initial commitment and the specific social or environmental context in which you pursue them matters enormously to whether they develop into lasting and genuinely meaningful parts of your life or remain brief experiments that never quite take hold for reasons that are worth understanding honestly rather than simply accepting as evidence of insufficient personal discipline or commitment.</t>
  </si>
  <si>
    <t>Possibly, yes, as I am seriously considering a significant professional transition that could meaningfully reshape how I spend my time and energy going forward.</t>
  </si>
  <si>
    <t>Whether I will be making big changes in my life in the near future depends significantly on how a few important conversations and decisions develop over the coming months, which makes the question feel both genuinely immediate and honestly uncertain in a way I find more interesting than simply anxiety inducing. I am deliberately open to significant change if the right opportunity or compelling reason presents itself clearly enough, having learned that the resistance to big changes that feels like wisdom is often more accurately described as the comfort of familiarity dressed up in the language of prudence and careful consideration.</t>
  </si>
  <si>
    <t>The question of whether big changes are coming in my life is one I find genuinely interesting to sit with honestly rather than answering too quickly in either a reassuringly stable or dramatically exciting direction. I have learned enough from previous experience to know that the most genuinely significant changes in my life have rarely been the ones I could see clearly and plan carefully well in advance, but rather the ones that emerged from circumstances and decisions that were themselves responses to things I could not fully predict or control from my earlier vantage point. What I can say honestly is that I am more genuinely open to significant change than I have been at previous stages of my life, both because I understand better than I used to what kind of changes would actually improve my life in lasting and meaningful ways and because I am less afraid of the disruption and uncertainty that any real change inevitably involves than I was when my sense of security was more dependent on the stability of familiar circumstances remaining reliably in place.</t>
  </si>
  <si>
    <t>By next year I will have been living here for nearly five years, which is long enough to have genuinely and deeply put down proper roots and built a real and meaningful life.</t>
  </si>
  <si>
    <t>By next year I will have been living in my current city for long enough that the relationship between me and the place has moved well beyond the superficial familiarity of a newcomer into something considerably more rooted and genuinely reciprocal. I know the neighbourhoods that suit me best for different purposes and different moods, I have favourite places that have become genuinely mine through accumulated personal history rather than simply being good places in an objective sense, and I have friendships and community connections that are deeply embedded in the specific fabric of this particular place rather than being portable in the way that earlier friendships formed before I truly settled anywhere were.</t>
  </si>
  <si>
    <t>Thinking about how long I will have been living in my current city by next year prompts genuine reflection about what that accumulated duration actually represents in terms of the life I have built here and the genuine rootedness I have developed that was entirely absent in the early months when the city was still largely unfamiliar and the daily experience of living here was shaped more by novelty and the effort of finding my way than by the comfortable ease of genuine belonging. The years I will have been here by next year represent a real and meaningful accumulation of place knowledge, community connections, established routines anchored to specific locations and people, and the particular kind of affective relationship with a place that only sustained time and genuine investment can produce. Whether I stay significantly longer than that depends on factors that are not entirely within my control, but what I can say honestly is that the rootedness I have developed here is real and would not be given up lightly or without genuinely compelling reasons.</t>
  </si>
  <si>
    <t>By next year my current routine will have been in place for about two years, which should be enough to have made it genuinely habitual and reliably sustainable rather than effortful and fragile.</t>
  </si>
  <si>
    <t>By next year the core elements of my current daily routine will have been established for long enough that their benefits should be clearly consolidated and meaningfully visible in how I feel, function, and relate to the various demands that daily professional and personal life consistently places on my time, energy, and attention. That consolidation matters considerably more to me than the duration itself, as habits that have become genuinely automatic and feel natural are far more resilient under pressure than those still requiring deliberate and conscious effort to maintain against competing attractions and easier alternatives.</t>
  </si>
  <si>
    <t>The question of how long I will have been following my current routine by next year is interesting partly because it invites honest examination of what I actually mean by my current routine and which elements of it are genuinely stable and well established versus which remain more aspirational and inconsistent than I sometimes like to acknowledge in comfortable self assessment. The core structural elements of my daily life, when I wake, how I begin my mornings, when I work most intensively, how I wind down in the evenings, have been relatively stable for several years now and feel genuinely mine in a way that reflects real accumulated learning about what actually serves my functioning rather than simply what seemed like a good idea when I initially tried to establish them as deliberate practices. The more peripheral elements change more frequently as circumstances evolve, which I think is actually appropriate rather than a failure of consistency, since a genuinely good routine should adapt intelligently to changing life circumstances rather than being maintained rigidly regardless of whether it continues to serve its original and legitimate purposes.</t>
  </si>
  <si>
    <t>Yes, I plan to finally sort out my home office setup properly, which will make a genuinely significant difference to how effectively and comfortably I work each day.</t>
  </si>
  <si>
    <t>There are a couple of home improvement projects I am planning to complete in the coming year, all of them modest in scale but genuinely meaningful in their expected impact on how comfortable and functional my daily living and working environment actually feels and operates. The home office is the priority, as the current setup has accumulated compromises that were acceptable on a temporary basis but have begun to feel genuinely limiting and somewhat draining in their cumulative effect on how well I am able to work from home on the days when I do.</t>
  </si>
  <si>
    <t>Home improvement projects are something I approach with a mixture of genuine enthusiasm for the end result and honest acknowledgment of how reliably they tend to take longer, cost more, and involve more complexity than any initial planning suggests they will. That said, there are specific changes I am genuinely committed to making in the coming year that feel important enough to be worth the inevitable inconvenience and disruption of actually doing them rather than continuing to defer them indefinitely. The home office is the most pressing and most clearly justified priority, as the accumulated ergonomic and functional compromises of my current setup have reached a point where they are genuinely affecting my work quality and daily comfort in ways that are no longer easy to rationalise away as minor and acceptable inconveniences not worth the effort and expense of properly addressing.</t>
  </si>
  <si>
    <t>Possibly, yes, as I have built something genuinely meaningful and valuable here that would require very compelling reasons to willingly uproot and leave behind.</t>
  </si>
  <si>
    <t>Whether I will stay in my current place for a long time is genuinely uncertain in a way I find more comfortable to hold honestly than to resolve prematurely in either direction. I have built real and meaningful connections here that I would not give up without genuinely compelling reasons, and the stability and continuity that staying provides has its own real and underappreciated value that becomes clearer the more I understand what it actually takes to build a genuine life in a place rather than simply living in one. But I am also aware that the right opportunity in the right place could provide genuine reasons for change that I would not want to reflexively resist simply out of attachment to the familiar.</t>
  </si>
  <si>
    <t>Whether I will live in the same place for a long time is a question I genuinely cannot answer with complete confidence, which itself reflects something true and honest about where I currently stand in terms of my relationship with this place and my clarity about what I most want my future life to look like in its fullest and most complete dimensions. What I can say with real conviction is that I have invested enough here, in relationships, in community, in the particular knowledge of a place that only sustained time produces, that departure would require genuinely meaningful and clearly compelling reasons rather than simply the appeal of novelty or the vague sense that something better might be available somewhere else. Whether those compelling reasons will present themselves in a form I find sufficiently clear and convincing to act on is something I hold with honest uncertainty rather than comfortable false certainty in either direction.</t>
  </si>
  <si>
    <t>Probably not more often, but more deliberately and selectively, choosing places that genuinely offer something worth experiencing rather than simply defaulting to convenience.</t>
  </si>
  <si>
    <t>Eating out more often is not something I particularly aspire to as an end in itself, having come to appreciate home cooking in ways that make restaurant meals feel most meaningful when they are genuinely special and specifically sought out rather than simply convenient and habitual. What I would like to do is eat out more intentionally, choosing restaurants for specific reasons and treating the experience as something genuinely worth full and unhurried attention rather than a practical solution to the question of what to eat when cooking feels like too much effort on a given evening.</t>
  </si>
  <si>
    <t>The question of whether I will eat out more often invites an honest examination of my actual relationship with restaurant dining and what I genuinely want from it rather than a simple yes or no about frequency that misses the more interesting and relevant question of quality and intentionality. I currently eat out with moderate frequency, often enough to maintain genuine familiarity with the local food landscape but not so often that individual meals lose their sense of being something worth genuinely looking forward to and paying full attention to when they arrive. What I would genuinely like is not more frequent restaurant meals but more meaningfully chosen ones, with greater deliberateness about which specific restaurants and occasions are genuinely worth the investment of time, money, and appetite that eating out requires compared to the very real pleasures and satisfactions that genuinely good home cooking continues to provide me with consistency and reliability.</t>
  </si>
  <si>
    <t>Yes, I am currently thinking quite seriously about my next five to ten years in both professional and personal dimensions that feel genuinely important and worth planning carefully.</t>
  </si>
  <si>
    <t>Long-term planning is something I engage with genuinely but with the kind of appropriate humility about the limits of prediction that accumulated life experience tends to produce in anyone who has lived long enough to see their confident earlier plans meet the complicated reality of how things actually unfold. I make long-term plans because having a genuine directional sense and a clear understanding of what I most value and want to build toward helps me make consistently better daily decisions rather than simply responding to whatever presents itself most immediately and compellingly. But I hold those plans lightly enough to adapt when genuinely important new information demands a real revision rather than simply a temporary deviation.</t>
  </si>
  <si>
    <t>Long-term planning is something I take seriously as an important discipline while simultaneously holding the genuine epistemic humility about the limits of anyone's ability to see clearly across significant stretches of genuinely uncertain future time. The value of long-term thinking for me lies less in the specific plans it produces, which will inevitably require substantial revision as circumstances change in ways I cannot fully foresee, and more in the clarity about values, priorities, and direction it forces me to develop and maintain by requiring me to think seriously about what I most genuinely want to be true about my life across an extended horizon rather than simply optimising for whatever feels most pressing and immediately rewarding in the short term. That kind of value clarification is genuinely useful and worth the effort of doing carefully and honestly regardless of how reliably specific long-term plans tend to require significant revision in their concrete details as actual future circumstances reveal themselves.</t>
  </si>
  <si>
    <t>Yes, I am focusing on deepening my most important relationships and investing more deliberately in the personal habits and activities that genuinely sustain and nourish me.</t>
  </si>
  <si>
    <t>My personal life plans centre on investing more deliberately and consistently in the things that genuinely matter to me at a deep level rather than simply managing them adequately amid competing professional demands and other obligations. The relationships that are most important to me deserve considerably more intentional time and genuine presence than they sometimes receive, and I am committed to being more proactive and less passive about creating the conditions for those relationships to genuinely thrive rather than simply survive on whatever time and energy happens to remain after other demands have been met first.</t>
  </si>
  <si>
    <t>Plans for my personal life feel simultaneously more important and more genuinely difficult to articulate clearly than professional plans, partly because the most meaningful personal aspirations resist the kind of specific goal setting language that works reasonably well for more clearly defined professional objectives. What I am most genuinely committed to in my personal life going forward is investing more deliberately and consistently in the quality of my closest relationships, not simply by spending more time with people I love but by being more genuinely present and less distracted when I am with them, more honest and less carefully managed in how I show up, and more proactive about creating occasions for the kind of deep and genuinely nourishing connection that tends not to happen automatically but requires deliberate cultivation and real prioritisation against the countless competing demands that always seem equally pressing in the moment.</t>
  </si>
  <si>
    <t>Yes, professionally I am focused on deepening expertise and impact, and personally on building the kind of stable and genuinely nourishing life I find most meaningful and sustaining.</t>
  </si>
  <si>
    <t>My plans for the coming years operate at a few different levels that I find useful to distinguish honestly rather than collapsing into a single narrative that oversimplifies what is genuinely a multi-dimensional set of intentions and aspirations. Professionally, I am focused on developing specific capabilities and taking on genuinely more challenging and meaningful work than I am currently doing. Personally, I am focused on deepening and protecting the relationships and practices that most reliably sustain my wellbeing and genuine sense of purpose across time. Both sets of plans feel genuinely important and I am trying to hold them as complementary rather than competing dimensions of a complete and meaningful life.</t>
  </si>
  <si>
    <t>The plans I hold for the coming years reflect what I hope is a genuinely realistic assessment of both what I most want to build and what is actually within my capacity to create through sustained and thoughtful effort rather than simple good fortune or perfectly aligned circumstances. Professionally, the clearest and most settled plans involve developing considerably deeper expertise in the areas I find most compelling and consequential, taking on work of genuine substance and difficulty, and building the kind of professional reputation that reflects real and demonstrable contribution rather than simply accumulated experience and institutional affiliations. Personally, the plans are more relational and experiential in character, centred on investing seriously in the people and practices that most genuinely sustain and enrich my life rather than simply managing them adequately as pleasant supplements to what I think of as my real and most important work.</t>
  </si>
  <si>
    <t>One that genuinely balances meaningful work with ample time for the relationships, creativity, and physical activity that make everything else feel worthwhile and sustainable.</t>
  </si>
  <si>
    <t>The lifestyle I most genuinely want in the future is characterised less by any specific external markers of success or comfort and more by a particular quality of daily experience that I find deeply sustaining and genuinely meaningful when I encounter it in its best versions. Work that genuinely matters and feels honestly worth giving my best to, relationships with people I love and who love me back with real honesty and consistent generosity, time in natural environments that restore rather than simply entertain, and the creative and intellectual engagement that keeps me genuinely curious and alive to the world rather than simply managing its demands competently and without real joy or wonder.</t>
  </si>
  <si>
    <t>When I think honestly about the lifestyle I most genuinely want in the future, the picture that emerges is considerably more specific and concrete than the vague aspirational language that lifestyle conversations often gravitate toward in ways that sound appealing without actually revealing very much about what is truly and deeply wanted. What I most genuinely want is a daily life in which the work I do feels honestly meaningful and worth my best effort, in which the time outside work is genuinely restorative and rich in the specific qualities of connection, creativity, physical movement, and intellectual engagement that I have come to understand are genuinely essential to my wellbeing rather than merely pleasant additions to it, and in which the pace and structure of each day allows for the kind of genuine presence and full attention that makes both work and personal life feel genuinely lived rather than simply managed and got through efficiently enough to move on to the next thing waiting immediately behind it.</t>
  </si>
  <si>
    <t>Improving my English to a genuinely high level of fluency and expressiveness, which I am working toward through consistent daily practice and deliberate and sustained study.</t>
  </si>
  <si>
    <t>The goal I am most actively and consistently working toward right now is reaching a level of genuine fluency and communicative confidence in English that allows me to engage fully and without significant limitation in professional and intellectual contexts where the language is the primary medium of meaningful exchange. The work involves both structured study and the kind of authentic and high stakes communicative practice that genuinely advances language ability in ways that more controlled study alone cannot fully accomplish or substitute for over time.</t>
  </si>
  <si>
    <t>The goal I am currently most actively and consistently working toward is developing a genuinely high level of English proficiency that goes well beyond basic functional competence to the kind of real fluency that allows for full and unhurried engagement with complex ideas, nuanced expression of genuine thought, and confident participation in demanding conversations without the cognitive overhead of language processing significantly limiting the quality of intellectual engagement itself. The work this requires is both more demanding and more genuinely interesting than I sometimes anticipated before beginning it seriously, as the gap between the level of English I can passively understand and the level I can actively produce with real quality and genuine naturalness is considerably larger than it initially appeared and requires deliberate and sustained practice across many different dimensions of the language simultaneously. I find the whole endeavour genuinely motivating despite its genuine difficulty, partly because the progress, while sometimes frustratingly slow, is real and clearly cumulative in ways that more patient engagement with the process allows me to see and appreciate more honestly.</t>
  </si>
  <si>
    <t>Almost certainly yes, as genuine new self knowledge seems to emerge reliably from any period of real challenge, growth, and deliberately honest self reflection.</t>
  </si>
  <si>
    <t>Learning something genuinely new and important about myself by next year seems not just likely but essentially inevitable given that I am actively engaged in challenges that consistently reveal capabilities and limitations I was not previously fully aware of or honest about. The most valuable self knowledge tends to come not from comfortable introspection in stable conditions but from the genuine encounter with difficulty and novelty that reveals how you actually function and what you genuinely value when the stakes are real and the situation demands honest and immediate response rather than carefully considered self presentation.</t>
  </si>
  <si>
    <t>Whether I will have learned something genuinely new and important about myself by next year is a question I can answer with confident and genuine affirmation rather than hopeful speculation, because the conditions for meaningful self discovery that my current life contains, real challenges, genuine uncertainty, demanding relationships, and consistent engagement with situations that require more of me than comfortable routine would ever produce, are exactly the conditions under which genuine new self knowledge tends to emerge most reliably and most significantly. What I cannot predict is the specific content of that self knowledge, which is part of what makes it genuinely new rather than simply a confirmation of what I already suspected or hoped to be true about myself. The most valuable things I have learned about myself across my life have consistently surprised me in ways that comfortable self reflection and stable conditions would never have generated on their own, which suggests that my most important discoveries about my own character, values, and genuine capabilities still lie ahead in the genuinely unpredictable encounters with difficulty and demand that the future will inevitably contain.</t>
  </si>
  <si>
    <t>Yes, genuinely, as meeting people with genuinely different perspectives and experiences is one of the most reliable ways to expand how I think and see the world.</t>
  </si>
  <si>
    <t>Meeting new people is something I genuinely value and actively pursue rather than simply tolerating as a social obligation, though I have become considerably more intentional and selective about how and where I invest my genuinely limited social energy as I have gotten older and clearer about what I most need from social engagement. The people I find most genuinely worth meeting and getting to know are those who think differently from me in interesting and challenging ways rather than those who simply share my existing interests and reinforce my current perspectives, however comfortable and affirming the latter kind of connection can feel in the moment.</t>
  </si>
  <si>
    <t>My genuine desire to meet new people is real and consistent, though it coexists with an equally genuine recognition that the quality and depth of connection matters considerably more to me than the breadth and volume of new social contacts accumulated across any given period of time. What I most genuinely want from meeting new people is not the expansion of my network in any instrumental or professionally strategic sense but the particular intellectual and human enrichment that comes from encountering perspectives, experiences, and ways of engaging with the world that are genuinely different from my own and that challenge my existing assumptions in productive and lasting ways. The people I have found most genuinely valuable to know over the course of my life have rarely been those I sought out most deliberately or met in the most obviously promising contexts, which suggests that maintaining genuine openness and curiosity in all kinds of encounters is a more reliable strategy for meeting truly worthwhile people than targeted and strategic social effort.</t>
  </si>
  <si>
    <t>Probably a new laptop soon, as my current one is starting to show its age in ways that are becoming genuinely limiting and honestly somewhat frustrating.</t>
  </si>
  <si>
    <t>Replacing my laptop is something I am actively considering rather than simply contemplating in a vague and uncommitted way, as the specific limitations of my current machine have reached a point where they are genuinely affecting the quality and efficiency of my work in ways that are increasingly difficult to justify accepting. The decision involves the usual questions about timing, specifications, and value that any significant technology purchase requires, but the direction feels clear enough that it is a matter of when rather than whether at this point.</t>
  </si>
  <si>
    <t>Whether I will be buying new technology in the near future is something I approach with the kind of deliberate consideration that significant purchases genuinely deserve rather than either reflexive resistance to spending or the kind of enthusiasm for technological novelty that can lead to purchases driven more by the appeal of newness than by genuine and clearly identified need. My current laptop is approaching an age where its performance limitations are becoming genuinely constraining rather than merely occasionally inconvenient, which shifts the calculation from a purely discretionary upgrade to something closer to a legitimate replacement of equipment that has reached the natural end of its genuinely useful working life. The question is less whether to replace it and more precisely when and with what, which are decisions I am thinking through with appropriate care rather than either rushing impulsively toward or deferring indefinitely out of inertia and reluctance to engage with the decision properly.</t>
  </si>
  <si>
    <t>Yes, almost certainly, as the tools are becoming genuinely more capable and practically useful at a pace that makes deeper engagement feel increasingly worthwhile and relevant.</t>
  </si>
  <si>
    <t>Using AI tools more extensively is something I am already doing and expect to continue doing as their capabilities develop and as I develop a clearer and more genuinely informed sense of where they genuinely add value to my work versus where they introduce limitations or risks worth taking seriously rather than dismissing. My approach is to engage with them thoughtfully and critically rather than either embracing them uncritically or resisting them reflexively out of discomfort with novelty and significant change.</t>
  </si>
  <si>
    <t>Whether I will be using AI tools more often in the coming period is something I can answer with a confident yes while wanting to add the honest qualification that more frequent use is not inherently the most important or meaningful measure of how my engagement with these tools should develop. What I most want is to develop a genuinely informed and critically thoughtful relationship with AI tools that allows me to use them where they genuinely add real value to my work and thinking while maintaining an honest and clear-eyed view of where their limitations and risks mean that more traditional approaches remain superior or more appropriate. The tools are developing at a pace that makes any fixed view of their appropriate uses obsolete quite quickly, which means that staying genuinely engaged with how they are changing and what those changes actually mean in practice is itself an important ongoing intellectual commitment rather than a question that can be resolved once and then set aside as settled.</t>
  </si>
  <si>
    <t>By next year I will have been actively learning and keeping up with new technologies for several years, which feels like a genuinely important and consistently rewarding ongoing commitment.</t>
  </si>
  <si>
    <t>Technology learning has been a consistent feature of my professional development for long enough that it no longer feels like a special additional effort but rather an expected and genuinely valued dimension of remaining meaningfully competent and genuinely engaged with the work I care about. By next year that accumulated investment will represent a substantial body of practical knowledge and adaptability that I think is genuinely among the more valuable professional assets anyone working in most modern fields can maintain and continue to develop throughout their working life.</t>
  </si>
  <si>
    <t>The question of how long I will have been learning new technologies by next year prompts honest reflection about what genuinely counts as technology learning and how I have engaged with it across different periods and with varying degrees of deliberateness and depth. The surface answer, that I have been keeping up with technological developments for many years in various professional and personal contexts, is true but perhaps less interesting than the more honest examination of when my engagement with technology learning became genuinely systematic and deliberately developmental rather than simply reactive and largely passive in character. The more deliberate and structured phase of technology learning I have been engaged in for the past several years feels considerably more valuable and genuinely productive than the earlier more reactive approach, which suggests that duration alone is a poor measure of the actual learning and capability development that time represents.</t>
  </si>
  <si>
    <t>Yes, definitely, as staying genuinely informed and meaningfully capable with evolving technology feels increasingly essential rather than merely interesting or professionally advantageous.</t>
  </si>
  <si>
    <t>Learning more about new technology is not something I hold as a vague aspiration but as an active and ongoing commitment that shapes how I spend a meaningful portion of my available professional development time each week. The pace at which genuinely consequential technological change is occurring makes sustained and serious engagement with it feel like a genuine professional and intellectual responsibility rather than simply an optional enhancement for those who find it particularly interesting or congenial.</t>
  </si>
  <si>
    <t>Whether I will learn more about new technology is a question whose answer feels so obviously affirmative that the more interesting version of it is what kind of technology learning will be most genuinely valuable and worth prioritising amid the genuinely extraordinary range of options and directions that the current pace of technological development continuously presents. The most important distinction I try to maintain in how I think about technology learning is between keeping broadly informed about developments across a wide front, which is valuable but relatively shallow, and developing genuine depth of understanding in specific areas that are most directly relevant to the work and questions I most care about. The latter requires considerably more sustained and focused investment than the former but produces a quality of understanding that is meaningfully more useful and genuinely more lasting in its effects on how I am able to think and work effectively.</t>
  </si>
  <si>
    <t>I genuinely hope so, as reducing unnecessary screen time is one of the habits I am most actively and deliberately working to improve right now.</t>
  </si>
  <si>
    <t>Reducing screen time is something I am working on with genuine commitment rather than simply aspiring to in a vague and uncommitted way, though I am also honest with myself about the specific distinction between screen time that genuinely serves my values and goals and screen time that is primarily habitual and largely unrewarding when examined honestly against what I actually want to be doing with that time and attention. The goal is not to minimise screen time in any absolute sense but to ensure that the time I spend in front of screens is genuinely chosen and purposeful rather than reflexive and largely passive.</t>
  </si>
  <si>
    <t>Whether I will have reduced my overall screen time by next year is genuinely less important to me than whether I will have improved the quality and intentionality of how I use screens and the specific purposes for which I engage with them across a typical week. The more interesting and honest question is not about raw duration but about the ratio of genuinely valuable and purposeful screen engagement to reflexive and largely unrewarding habitual use that fills available time without producing anything of real substance or lasting satisfaction. That ratio is what I am most genuinely committed to improving, and by next year I hope to have made real and measurable progress on it through the specific environmental and behavioural changes I have been implementing with genuine sustained effort and appropriate patience for the gradual nature of real habit change.</t>
  </si>
  <si>
    <t>Yes, I plan to visit within the next few months, and I genuinely look forward to it far more than I sometimes admit or openly acknowledge.</t>
  </si>
  <si>
    <t>Visiting my hometown is something I do with reasonable regularity and genuinely look forward to, both for the specific people it allows me to spend time with and for the particular quality of reconnection with earlier versions of myself and my life that a return to genuinely formative places reliably and somewhat mysteriously produces. The relationship between who I am now and who I was in the place I grew up is one I find genuinely interesting and worth periodically revisiting rather than simply leaving as settled and closed.</t>
  </si>
  <si>
    <t>Returning to my hometown is something I do with sufficient regularity to maintain the connections that matter most to me while also allowing enough time between visits that each return carries a particular quality of fresh appreciation for what the place contains and what it genuinely means to me that more frequent visits might somewhat dilute. The experience of going back to where you grew up is reliably stranger and richer than you expect each time, as the combination of genuine familiarity and significant accumulated change between visits produces a layered and somewhat disorienting quality of recognition and difference that I find more interesting and genuinely revealing than either pure nostalgia or the comfortable sensation of nothing having meaningfully changed would be. Each visit reveals something about both the place and myself that I had not quite noticed or honestly processed from my current distance and perspective.</t>
  </si>
  <si>
    <t>Almost certainly yes, as travel is one of the things I plan and look forward to most consistently and with the most genuine and lasting enthusiasm.</t>
  </si>
  <si>
    <t>Booking my next trip is something I tend to do fairly far in advance, partly because I genuinely enjoy the anticipation that a confirmed future travel plan provides and partly because planning ahead tends to produce meaningfully better outcomes in terms of available options, reasonable costs, and the genuine quality of time available for actual exploration rather than last minute logistics management. By next year I would very much expect to have at least one trip properly booked and several others in various stages of active planning and consideration.</t>
  </si>
  <si>
    <t>Whether I will have booked my next trip by next year is a question I can answer with genuine and well-founded confidence rather than optimistic speculation, because travel is one of the areas of my life where I have never struggled with commitment and follow through in the way that some other aspirations and intentions sometimes require more persistent effort to actually convert into real and concrete action. The more interesting question is what kind of trip it will be and what it will be designed to offer that my recent travel has not quite provided in the same way or to the same depth and degree of genuine satisfaction. I am increasingly drawn to slower and more genuinely immersive travel that allows for a quality of understanding and connection with places and people that brief and busy itineraries focused on covering maximum ground in minimum time simply cannot produce regardless of how well organised and efficiently executed they might be.</t>
  </si>
  <si>
    <t>Probably a mixture of both, as solo travel and travel with close companions offer such genuinely different and distinctively valuable experiences that I value both forms highly.</t>
  </si>
  <si>
    <t>My preference between traveling alone and with others genuinely depends on the specific trip, its purpose, and what I most want to get from it at that particular point in my life and given my current needs and state. Solo travel offers a particular quality of freedom, genuine spontaneity, and deep personal reflection that shared travel almost inevitably and quite understandably compromises in pursuit of the very different and equally real pleasures of genuinely shared experience and mutual discovery. I try to include both in my travel life rather than committing exclusively to either approach as universally superior.</t>
  </si>
  <si>
    <t>Whether I travel alone or with others for any given trip reflects a genuine and consistently interesting negotiation between two very different kinds of travel experience that I value for quite different and largely non overlapping reasons. Solo travel offers something genuinely irreplaceable in the specific quality of attention it allows, the freedom to follow genuine curiosity without negotiation or compromise, and the particular quality of honest self reflection that being entirely alone in unfamiliar environments reliably produces in ways that are difficult to replicate in any other context. Travel with people I genuinely love and whose company I find deeply enjoyable offers an equally irreplaceable but completely different kind of richness, the shared discovery of something new, the particular texture of the conversations that travel generates, and the deepened relationship that results from navigating genuinely new territory together. My honest ideal is probably a deliberate mix of both rather than a fixed commitment to either as the obviously superior and always preferable approach to how travel should be done.</t>
  </si>
  <si>
    <t>Yes, I am seriously considering spending a few weeks somewhere I have never been before and exploring it slowly and with genuine unhurried attention and curiosity.</t>
  </si>
  <si>
    <t>My next trip is still in the planning stages rather than fully confirmed and booked, but the direction is clear enough that I have moved well beyond vague aspiration into genuine and active consideration of specific destinations, rough timing, and the kind of experience I most want the trip to provide. I am particularly interested in somewhere that would offer a genuine combination of cultural depth and natural beauty rather than one or the other in isolation, as that combination tends to produce the most durably satisfying and genuinely memorable travel experiences I have had so far.</t>
  </si>
  <si>
    <t>Planning for my next trip is something I engage with genuine enthusiasm and real specificity rather than keeping it as a comfortable but vague future aspiration that never quite gets converted into concrete and committed action. The destination I am most seriously considering at this point offers a combination of historical depth, distinctive natural landscape, and a cultural context that is genuinely different from anything I have previously spent significant time in, all of which align well with what I most genuinely want from travel at this particular point in my life. The planning itself is something I find genuinely enjoyable rather than burdensome, as the research involved consistently teaches me things about places and their histories that I find intrinsically interesting regardless of whether I eventually end up visiting in exactly the way I am currently imagining or in some significantly modified form that the actual circumstances of booking and going ultimately produce.</t>
  </si>
  <si>
    <t>Yes, by Friday I will have been here for exactly one week, which has genuinely flown by in the most wonderfully satisfying and memorable way possible.</t>
  </si>
  <si>
    <t>By Friday I will indeed have been here for a full week, and reflecting on that feels genuinely interesting because the experience has been rich enough that some days feel like several compressed into one while others passed with the particular swiftness that genuinely absorbing and fully present experience tends to produce regardless of the objective duration involved. The week has offered considerably more than I had specifically anticipated or carefully planned for, which is usually the best possible sign that a trip is delivering genuine quality rather than simply meeting preset expectations in a satisfying but ultimately rather predictable way.</t>
  </si>
  <si>
    <t>By Friday I will have been here for a full week, which is long enough to have moved well past the initial adjustment phase where everything is simultaneously exciting and somewhat disorienting in the particular way that genuinely new environments tend to affect anyone who arrives with real openness and genuine curiosity rather than defensive familiarity with the destination through excessive advance research and planning. The week has provided exactly the kind of slowly accumulating and deeply felt understanding of a specific place that I most value from travel and that brief visits simply cannot produce regardless of how efficiently and thoughtfully they are organised. I have established a few genuine daily rhythms, discovered a handful of places that feel meaningfully mine rather than simply recommended and visited, and begun to sense something of the actual texture and pace of daily life here in a way that makes the destination feel real and particular rather than simply picturesque and generically foreign.</t>
  </si>
  <si>
    <t>Yes, absolutely, as tax deadlines are one of the administrative obligations I take genuinely seriously and always address well ahead of any approaching deadline.</t>
  </si>
  <si>
    <t>Submitting my tax report is one of those annual obligations I have learned to approach with deliberate early action rather than the procrastination that tends to make the whole process considerably more stressful and error-prone than its actual complexity genuinely requires or justifies. By next year it will certainly have been dealt with properly and on time, as I have made a consistent habit of gathering the necessary documentation and completing the submission process well before any deadline pressure begins to accumulate in ways that compromise the care and attention that getting it right actually requires.</t>
  </si>
  <si>
    <t>Tax submission is one of the administrative obligations that I have deliberately and systematically removed from the category of things I stress about by consistently addressing it early and with genuine thoroughness rather than allowing it to accumulate as a background anxiety that grows progressively more uncomfortable as deadlines approach. The discipline of doing it early and carefully each year has produced not only the practical benefit of reliable compliance and accurate submission but also the more subtly valuable benefit of maintaining a clear and current understanding of my own financial situation that would be considerably more difficult to access if I engaged with the relevant documentation only under the time pressure of imminent deadlines. By next year it will certainly have been submitted properly and on time, as it will for every year going forward for as long as the obligation exists and my current approach to managing it continues to serve me well.</t>
  </si>
  <si>
    <t>One of my proudest achievements was completing a half marathon after months of genuinely demanding training that tested my resilience and consistency in ways I had not fully anticipated.</t>
  </si>
  <si>
    <t>A goal I feel genuinely proud of achieving was successfully transitioning into a new professional field that required developing significant new capabilities while maintaining the existing responsibilities I could not simply set aside during the transition period. The process was considerably more demanding and took meaningfully longer than my initial optimistic estimates had suggested it would, which produced its own important and lasting lessons about realistic planning and genuine patience with complex developmental processes that do not respond well to being rushed or forced toward premature conclusions.</t>
  </si>
  <si>
    <t>One of the goals I feel most genuinely and durably proud of having achieved was completing a sustained and demanding learning project that required consistent effort and real discipline over an extended period in the face of the numerous competing demands and occasional genuine discouragement that any ambitious long-term undertaking reliably encounters at various points along the way. What made it particularly meaningful was not the specific achievement itself, significant as it was, but the quality of the process of reaching it, which required developing a level of consistent self discipline and sustained intellectual engagement that I was honestly not certain I possessed when I first committed to the goal. The experience of discovering through genuine challenge and sustained effort that you are capable of more than you previously knew or believed is one that fundamentally and permanently changes your relationship with future challenges in ways that feel genuinely and lastingly valuable beyond the specific achievement that produced the discovery in the first place.</t>
  </si>
  <si>
    <t>Clear and honest communication and the genuine ability to listen carefully and really understand what people are actually asking for have been by far the most consistently valuable professional skills I possess.</t>
  </si>
  <si>
    <t>The skills that have helped me most consistently and significantly across my career are less the specific technical competencies of my field and more the underlying capacities that allow those technical skills to be applied effectively in genuinely complex and often somewhat messy real world situations that rarely conform neatly to the clean scenarios that formal training tends to prepare you for. The ability to think clearly under real pressure, communicate with genuine precision and appropriate sensitivity, and maintain honest and productive working relationships through difficulty and disagreement are the capabilities I have found most reliably valuable and most consistently differentiating across every professional context I have worked in.</t>
  </si>
  <si>
    <t>Reflecting on which skills have genuinely helped me most across my career produces a somewhat surprising answer, at least surprising relative to what I might have predicted before accumulating enough experience to see clearly which capabilities actually determine outcomes in genuinely complex professional situations rather than which ones seem most obviously important when viewed from a comfortable distance. The technical competencies of my field are necessary but nowhere near sufficient on their own, as almost everyone operating seriously in any professional domain develops adequate technical skills over time. What has made the genuine difference for me is a combination of the ability to communicate complex ideas clearly and honestly to genuinely diverse audiences, the willingness to engage with difficulty and ambiguity without needing to resolve them prematurely into false simplicity, and the interpersonal intelligence to maintain productive and genuinely trusting relationships through the inevitable disagreements and pressures that any serious and sustained collaborative work will encounter and require navigating thoughtfully.</t>
  </si>
  <si>
    <t>The most challenging professional situation I faced required rebuilding trust with a team after a significant miscommunication, which demanded genuine humility and sustained and patient effort to resolve properly.</t>
  </si>
  <si>
    <t>A significant professional challenge I faced involved being asked to lead a complex project in an area where I had limited prior experience, with a team that had initially expected someone with considerably more specific background than I brought to the role. Overcoming it required being very transparent about both what I did and did not know, deliberately involving team members in ways that drew on their expertise and gave them genuine ownership of areas where they were clearly stronger than I was, and demonstrating through consistent action rather than confident assertion that I was genuinely committed to the team's success rather than primarily to my own professional positioning and reputation within the organisation.</t>
  </si>
  <si>
    <t>The professional challenge I found most genuinely demanding and most lastingly instructive was one that combined significant technical complexity with considerable interpersonal difficulty in a combination that required capabilities I was still actively developing rather than drawing on a well-established reservoir of relevant experience. The situation involved navigating a project that had lost the genuine trust and active cooperation of key stakeholders for reasons that preceded my involvement and that I initially did not fully understand, which meant that the technical work, demanding as it was, was actually the simpler dimension of what needed to be addressed. Rebuilding genuine trust with people who had good reasons for their scepticism required extraordinary patience, consistent follow-through on commitments regardless of difficulty, and the particular kind of honest self-disclosure about limitations and uncertainties that I had previously been somewhat reluctant to offer in professional contexts where projecting confidence felt strategically important. The experience permanently changed how I think about the relationship between technical competence and interpersonal trust in genuinely complex professional work.</t>
  </si>
  <si>
    <t>That genuine relationships matter enormously more than credentials or impressive individual performance in determining what you can actually accomplish and sustain over time.</t>
  </si>
  <si>
    <t>The most important lesson my career has taught me is that the quality of how you engage with people in the daily texture of work, honestly, curiously, generously, and with genuine respect for their particular expertise and perspective, matters far more to what you can actually accomplish and what opportunities genuinely become available to you than any specific credential, technical skill, or individual performance ever manages to do in isolation from those fundamentally relational qualities.</t>
  </si>
  <si>
    <t>The most important and genuinely lasting lesson my career has taught me is one that took considerably longer to genuinely internalise than I would have liked, partly because it cuts somewhat against the individualistic and credential-focused narrative about professional success that was most prominently available to me during my formative professional years. The lesson is simply that your genuine usefulness to other people, understood broadly to include the clarity and honesty of your communication, the reliability of your commitments, the generosity with which you share credit and acknowledge contribution, and the quality of genuine care you bring to understanding what others actually need rather than what you find most interesting or impressive to provide, is the single most important and reliable determinant of what you can accomplish over any extended professional career. Everything else, the technical skills, the credentials, the strategic positioning, matters genuinely but operates as a multiplier on that fundamental relational quality rather than as a substitute for it in any lasting or ultimately satisfying sense.</t>
  </si>
  <si>
    <t>Someone who provides genuine clarity about expectations, real support when it is genuinely needed, and consistent and honest feedback delivered with care and real respect.</t>
  </si>
  <si>
    <t>A good boss, in my genuine experience and considered view, is someone who manages to combine clear and honest communication of expectations with genuine investment in the development and wellbeing of the people they lead, who creates the conditions for people to do genuinely excellent work rather than simply monitoring and judging the quality of what they produce, and who demonstrates through consistent behaviour rather than occasional declaration that they consider the growth and genuine flourishing of their team members to be a central and not merely incidental part of their own professional responsibility and success.</t>
  </si>
  <si>
    <t>My definition of a good boss has evolved considerably through direct experience of working with a wide range of different leadership styles, some genuinely excellent and some significantly problematic in ways that taught me at least as much through negative example as the best leaders did through genuine positive model. What I have come to believe most deeply about genuinely good leadership is that it is fundamentally about creating the specific conditions under which other people can do their very best work rather than primarily demonstrating the leader's own individual excellence and capability. This requires an unusual combination of genuine intellectual confidence, manifested in clear and honest communication of direction and expectations, and genuine personal humility, manifested in real openness to being informed and corrected by people with better specific knowledge or closer proximity to the actual work than the leader possesses. The best bosses I have encountered held both of those qualities simultaneously and expressed them consistently across all kinds of conditions rather than selectively in situations where it cost them very little to do so.</t>
  </si>
  <si>
    <t>Doing genuinely meaningful work, being honestly and fully present in my closest relationships, and consistently growing through real challenge and genuine honest reflection.</t>
  </si>
  <si>
    <t>Fulfilment for me arises most reliably from the combination of meaningful work that genuinely draws on my best capabilities and contributes to something I honestly care about, authentic relationships in which I am known and valued for who I actually am rather than who it would be strategically convenient to appear to be, and a sense of ongoing and genuine growth that prevents any period of life from feeling static and ultimately purposeless regardless of how comfortable and objectively successful it might appear from the outside.</t>
  </si>
  <si>
    <t>What makes me feel most genuinely and durably fulfilled is a question I have thought about seriously enough to have a specific and honest answer rather than the generic and somewhat evasive responses that the question often produces when asked in contexts where people feel pressure to sound impressive or appropriately humble rather than simply truthful. The clearest and most consistent source of genuine fulfilment in my life is doing work that is genuinely difficult, that genuinely matters to someone beyond myself, and that I feel honestly proud of when I engage with it seriously and give it my genuine best effort rather than an adequate but uninspired version of what I am capable of producing. Beyond work, the quality of genuine presence in my closest relationships, the sense of being honestly known and consistently cared for by people I love and admire, provides a depth of fulfilment that no professional achievement has ever managed to replicate or substitute for in any lasting or satisfying way.</t>
  </si>
  <si>
    <t>An unexpected breakthrough in something I had been genuinely struggling with for a while, which produced a feeling of pure and completely unguarded delight that I genuinely savoured.</t>
  </si>
  <si>
    <t>The last thing that made me feel truly and unguardedly excited was discovering a book that addressed questions I had been thinking about seriously for some time in ways that felt both genuinely illuminating and deeply unexpected in their specific approach and perspective. That quality of encounter with something that genuinely advances your understanding rather than simply confirming what you already suspected is one of the most reliably exciting experiences available in ordinary life, and finding it unexpectedly makes it feel even more precious and genuinely valuable than it would have been had I been deliberately and systematically searching for it.</t>
  </si>
  <si>
    <t>Genuine and unguarded excitement is an emotional state that I find becomes simultaneously rarer and more deeply valued as I get older and accumulate more experience that makes genuine surprise increasingly difficult to produce and genuine delight increasingly precious when it does occur. The last thing that produced it in me was an unexpected and particularly deep and honest conversation that went in directions neither participant had anticipated at the outset, producing the particular quality of mutual discovery and genuine intellectual excitement that the very best conversations can generate when both people are genuinely present and genuinely open rather than simply performing engagement while primarily managing their own presentation and the impression they are creating. That quality of genuine and mutual discovery is something I find more lastingly exciting and more profoundly satisfying than almost any other experience readily available in ordinary daily life.</t>
  </si>
  <si>
    <t>Yes, the pace of significant change in several important areas of life and work has been producing a background level of genuine concern that I am trying to engage with honestly and constructively.</t>
  </si>
  <si>
    <t>There are things that have been occupying my concern recently, primarily related to some genuine uncertainties about direction and outcome in areas of my life that feel genuinely important and where the path forward is less clear than I would find comfortable if clarity were the primary criterion for a good life. I try to distinguish between productive concern that motivates genuine and useful action and unproductive worry that simply generates anxiety without improving any situation, though maintaining that distinction consistently under real pressure is itself something that requires deliberate and ongoing effort.</t>
  </si>
  <si>
    <t>Honesty about what has been worrying me recently requires acknowledging that concern and worry are constant features of any genuinely engaged life rather than aberrations to be eliminated or hidden from view in the interests of projecting a reassuring impression of untroubled competence and confident forward momentum. The specific concerns occupying me most at the moment are less dramatic than genuine crises but more persistent and genuinely difficult to resolve than the ordinary daily challenges that good planning and reasonable capability can address fairly straightforwardly. They involve genuine uncertainty about important future directions and outcomes in areas where the uncertainty is real and cannot be eliminated through additional thought or effort alone but must simply be held honestly while continuing to act well with the incomplete information and genuine uncertainty that the situation contains. Learning to hold that kind of honest concern without allowing it to become genuinely paralyzing or distorting of my judgment and daily functioning is itself one of the more important and ongoing challenges of my current life.</t>
  </si>
  <si>
    <t>A long and completely unhurried meal shared with people I genuinely love, at a beautiful place, eating extraordinary food with no agenda beyond simply being fully and joyfully present together.</t>
  </si>
  <si>
    <t>The best meal I can remember was one where everything contributed simultaneously to the experience, the setting was genuinely beautiful, the food was both technically excellent and personally meaningful in the specific cuisine it represented, and the company made the whole occasion feel like exactly the right people in exactly the right place at exactly the right moment in all of our lives. That quality of total alignment between all the dimensions of a shared meal is something I have experienced only rarely, which makes those specific occasions feel genuinely precious and worth remembering with real gratitude and lasting warmth.</t>
  </si>
  <si>
    <t>Describing the best meal I have ever had requires distinguishing between the meal that was most technically impressive and the meal that was most genuinely memorable and most completely fulfilling in the fullest and most human sense of those words. The former might well be some elaborately conceived and flawlessly executed tasting menu at a restaurant of extraordinary technical ambition and clearly exceptional craft. But the meal I genuinely return to most often and most warmly in memory was far simpler in its food and far more extraordinary in everything else surrounding it, the specific people present and the particular quality of the shared experience they created together, the setting that felt almost impossibly beautiful and appropriate for the occasion, and the conversation that moved through laughter and genuine depth in the particular way that only the best meals with the people who matter most tend to allow and naturally produce. Food at its very best is never only about the food itself.</t>
  </si>
  <si>
    <t>Online study offers extraordinary flexibility but demands far more internal motivation and genuine self discipline than in-person learning typically requires of most students.</t>
  </si>
  <si>
    <t>The differences between online and in-person study go considerably deeper than simply the physical location of the learning, touching on fundamental aspects of how engagement, accountability, and genuine understanding are structured and sustained across the full experience of serious study. In-person study creates a social and environmental context that supports learning in ways that are largely automatic and require no active management from the student, while online study makes that same quality of engaged learning available in principle but requires much more deliberate and conscious effort to actually access and maintain consistently over any extended period of time.</t>
  </si>
  <si>
    <t>The differences between online and in-person study that I find most genuinely significant and worth thinking about carefully go well beyond the obvious practical considerations of scheduling flexibility and logistical convenience that dominate most surface-level discussions of the topic. The more fundamental difference lies in how each format structures the social and environmental conditions that actually drive genuine learning rather than simply making knowledge nominally accessible to anyone willing to engage with it in whatever way feels most comfortable and convenient. In-person study creates a particular kind of shared intellectual community and mutual accountability that most people underestimate as a driver of genuine learning until they try to replicate it in an online environment and discover how much more deliberate effort its absence requires them to supply through their own internally generated motivation and discipline. Online study, conversely, creates a very different relationship with learning material that rewards certain kinds of independent and self-directed engagement more generously than in-person formats typically allow or encourage, which makes it genuinely superior for some specific learners and some specific kinds of content even as it requires them to be more actively conscious of what they are not getting that in-person environments would provide more automatically and reliably.</t>
  </si>
  <si>
    <t>Considerably more settled and genuinely self-aware, as the past five years have produced real and lasting clarity about what I most value and genuinely need to thrive.</t>
  </si>
  <si>
    <t>Five years ago I was operating with a significantly less honest understanding of what I actually needed from my work, relationships, and daily life than I now carry as something genuinely settled and reliably available to inform my decisions. The changes are less about dramatic external circumstances and more about the quality of understanding I bring to navigating whatever circumstances I encounter, which feels like the more fundamental and genuinely important kind of change that any significant period of genuine living and honest reflection can produce.</t>
  </si>
  <si>
    <t>Comparing my current life to what it looked like five years ago produces a picture that is genuinely interesting and somewhat surprising even to me, as the most significant changes are not the ones that would be most visible from the outside but those that have transformed how I engage with experience from the inside in ways that have quietly but fundamentally altered what I find meaningful, how I make decisions, and what I am honestly willing to invest my genuinely limited time and energy in pursuing. Externally, certain circumstances have changed in ways that are real and significant. But the more important changes have been internal, a considerably more honest relationship with my own values and genuine needs, a much less anxious relationship with uncertainty and the inevitable gaps between aspiration and current reality, and a deeper and more reliable capacity for genuine presence in the experiences and relationships that matter most to me than I could consistently access five years ago.</t>
  </si>
  <si>
    <t>Completing something genuinely difficult that I had genuinely doubted I could finish produced a feeling of quiet and deeply satisfying pride I still return to with real warmth.</t>
  </si>
  <si>
    <t>One of the moments of genuine pride I remember most clearly and warmly was the completion of a sustained and demanding project that had required considerably more from me than I had honestly expected when I first committed to it with what turned out to be somewhat optimistic confidence about my existing capabilities and the time it would actually require. The pride was not primarily about the external recognition the completion brought but about the honest self knowledge it produced, the clear and direct evidence that I was capable of sustained effort and genuine quality of output through difficulty in a way that I had previously hoped but could not be entirely certain was true about myself in practice.</t>
  </si>
  <si>
    <t>The moments of genuine pride I return to most often and most warmly in memory share a quality that distinguishes them meaningfully from the satisfaction of simply achieving something I had targeted and worked toward in a reasonably straightforward way. The pride I find most genuinely meaningful and lasting is the kind that comes from discovering through real challenge and sustained effort that you are capable of something you genuinely were not certain you could do when you first committed to attempting it seriously. One such moment came at the end of a particularly demanding period that had tested my resilience, creative capacity, and genuine commitment in ways I had not fully anticipated, when I was able to look honestly at what I had produced and feel that it genuinely represented my very best effort rather than a competent but ultimately somewhat safe and self-protective version of what I was capable of contributing when the stakes were genuinely real and the difficulty was genuinely substantial.</t>
  </si>
  <si>
    <t>Failing to communicate clearly during a crucial and high-stakes moment taught me that honest and timely clarity is always better than diplomatic but ultimately misleading vagueness.</t>
  </si>
  <si>
    <t>One of the most instructive mistakes of my professional life was continuing with a course of action I had privately begun to doubt because I was reluctant to admit uncertainty and acknowledge the need to reconsider in front of people whose opinion of my judgment genuinely mattered to me at the time. The eventual and entirely avoidable consequences of that reluctance were considerably worse than honest and timely acknowledgment of the developing problem would have been, which produced a lesson I have not forgotten and have actively tried to act on in every subsequent situation where the temptation to project false confidence over genuine uncertainty has presented itself.</t>
  </si>
  <si>
    <t>The mistake that has taught me the single most important and lastingly applicable lesson is one that involved not a dramatic error of judgment or a catastrophic failure of execution but something considerably quieter and ultimately more consequential in how it shaped my subsequent professional behaviour and self understanding. I failed to be honest with someone whose genuine and informed perspective would have significantly improved an important decision, not through any deliberate deception but through a combination of excessive confidence in my own existing view, reluctance to create what felt like unnecessary friction and delay, and insufficient appreciation of how much better outcomes tend to be when they are genuinely informed by diverse and sometimes challenging perspectives rather than efficiently produced by a single capable mind working in comfortable isolation from potentially corrective outside input. The lesson, which has proven remarkably widely applicable across many subsequent situations, is that the short-term discomfort of genuine intellectual openness almost always produces better outcomes than the short-term ease of confident self-sufficiency.</t>
  </si>
  <si>
    <t>Choosing to leave a stable and well-regarded job without another one confirmed was genuinely frightening but ultimately one of the most important and right decisions I have ever made.</t>
  </si>
  <si>
    <t>One of the most genuinely difficult decisions I have faced was choosing between two paths that each offered something real and valuable and important to me, with no obvious way to access the most important things each offered without genuinely giving up what the other provided. The difficulty was not about identifying the objectively superior choice, which did not exist in any clear or compelling sense, but about being honest enough with myself about my actual values and genuine priorities to make a real decision rather than continuing to defer in the hope that circumstances would somehow resolve the dilemma without requiring me to choose clearly and accept the real costs of that choice.</t>
  </si>
  <si>
    <t>The most genuinely difficult decision I have had to navigate was one that combined significant professional and personal dimensions in a way that made clean and comfortable resolution essentially impossible regardless of which direction I ultimately chose to go. The difficulty arose not from any shortage of relevant information or analytical clarity about the likely consequences of each option, but from the honest recognition that both paths involved real and significant losses alongside their genuine benefits, and that choosing one meant genuinely giving up something I valued rather than simply optimising in a direction that was clearly superior across all the dimensions that actually mattered to me. What I learned from navigating that decision slowly and honestly was that the quality of a difficult decision is ultimately measured less by the outcome it produces, which involves factors beyond your control, and more by the integrity and genuine self knowledge with which it is made, which is entirely yours to determine and something worth getting right regardless of how the circumstances that follow ultimately develop.</t>
  </si>
  <si>
    <t>Learning to genuinely trust my own judgment after a period of significant self-doubt was one of the most demanding and most genuinely important challenges I have successfully worked through.</t>
  </si>
  <si>
    <t>The biggest challenge I have overcome was rebuilding genuine confidence and professional momentum after a period that had been considerably more difficult and humbling than anything I had previously encountered in my working life. The process required a combination of honest self assessment about what had actually gone wrong and why, deliberate work on specific capabilities that the difficult period had revealed as genuinely underdeveloped, and the particular kind of patient courage that continuing to engage seriously and visibly with challenging work requires when your confidence has been meaningfully shaken and the temptation to retreat to safer and more familiar ground is genuinely strong and understandable.</t>
  </si>
  <si>
    <t>Identifying the biggest challenge I have overcome requires honestly distinguishing between challenges that were dramatic and externally visible and those that were quieter but ultimately more fundamental in what they demanded and in what their successful navigation genuinely produced in terms of lasting personal development and changed capacity. The challenge I consider most significant and most genuinely proud of having worked through was an extended period during which my fundamental confidence in my own judgment and capability was seriously and legitimately questioned by circumstances that I could not easily dismiss or rationalise away without dishonesty. Working through that period without either collapsing into permanent self-doubt or retreating into defensive denial of what the experience was genuinely revealing about real limitations I needed to honestly address required a quality of sustained honest courage and genuine intellectual humility that I am not certain I would have been confident I possessed before the necessity of actually demonstrating it in real and demanding circumstances made that question directly and unavoidably relevant to answer.</t>
  </si>
  <si>
    <t>That genuine presence with the people who matter most to me is considerably more valuable and genuinely harder to consistently offer than I had previously honestly appreciated.</t>
  </si>
  <si>
    <t>The most important lesson I have learned recently is that the quality of attention I bring to any given activity or relationship matters enormously more than the quantity of time I nominally allocate to it, and that the distracted and somewhat partial presence that has become my habitual default mode in many contexts is a genuine and significant form of scarcity that the people and activities most important to me genuinely feel and deserve to have addressed much more honestly and deliberately than I have managed to do.</t>
  </si>
  <si>
    <t>The most important lesson I have absorbed genuinely recently, as opposed to one I have known intellectually for some time without truly internalising it in the way that actually changes behaviour, is that the speed at which I move through experiences and decisions has been consistently producing a quality of engagement that is adequate but falls meaningfully short of what genuinely matters to me and what the most important dimensions of my life honestly deserve. I have understood the value of slowness and genuine presence in an abstract sense for many years, but something shifted recently in how concretely and urgently I feel that understanding as a direct guide to how I actually choose to allocate attention and time in the specific daily situations that collectively constitute my actual life rather than the idealised version of it that exists primarily in my own comfortable self-conception and aspirational planning.</t>
  </si>
  <si>
    <t>Exercise, genuine time outdoors, and honest conversation with people I trust are my most consistently reliable and genuinely effective responses to real stress.</t>
  </si>
  <si>
    <t>My approach to dealing with stress has become considerably more deliberate and honestly self-aware over the years as I have accumulated genuine understanding of both what actually helps and what merely provides temporary relief while leaving the underlying sources of stress essentially unaddressed and unresolved. Physical movement is the most reliably effective immediate intervention I have found, consistently and quickly shifting my physiological state in ways that make everything else more manageable and considerably more accessible to clear and productive thinking. Genuine conversation with people I trust about what is actually happening, rather than the carefully edited version of it I might present in less safe social contexts, provides a different and equally important form of relief that physical activity alone cannot replicate or substitute for.</t>
  </si>
  <si>
    <t>My approach to managing stress has evolved substantially across my adult life as I have developed a considerably more honest and nuanced understanding of both what actually drives stress in my specific case and what genuinely helps to restore the sense of capacity and groundedness that significant stress reliably erodes. The interventions that work most reliably and most lastingly for me combine physical and psychological dimensions in ways that address stress from multiple angles simultaneously rather than targeting only one dimension while ignoring the others that are equally real and equally in need of attention and genuine care. Movement, particularly running outdoors, addresses the physiological dimension in ways that are both immediate and cumulative in their benefit. Honest conversation with genuinely trusted people addresses the cognitive and relational dimensions that movement alone cannot reach. And the deliberate protection of adequate sleep and genuinely restorative downtime addresses the deeper resource depletion that sustained stress produces if it is not actively and consistently countered with genuine recovery rather than simply the absence of additional demands.</t>
  </si>
  <si>
    <t>I gather relevant information carefully, sit with genuine uncertainty long enough to think clearly, and then commit fully to whatever direction seems most honestly right.</t>
  </si>
  <si>
    <t>My approach to important decisions involves a genuine attempt to distinguish between the analytical work of gathering and honestly weighing relevant information and the more personal and values-based work of understanding what I genuinely want and why, treating those as separate but equally necessary and important phases of the process rather than collapsing them prematurely into a single activity that tends to produce decisions that are either overly analytical and ultimately somewhat hollow or overly emotional and ultimately somewhat confused about the actual choices and their genuine consequences.</t>
  </si>
  <si>
    <t>How I make important decisions is something I have thought about with genuine care and honest self-examination, partly because the quality of my decision-making process matters enormously to outcomes I care deeply about and partly because I have learned through direct experience of both good and poor decisions that the process itself is far more consistently within my control and influence than the outcomes it produces, which always involve factors beyond any individual's complete knowledge or reliable direction. My current approach involves a deliberate and patient movement through several genuinely distinct phases, beginning with thorough and genuinely open-minded information gathering that actively seeks out perspectives and evidence that might challenge my existing inclinations rather than simply confirming what I already suspect. This is followed by a period of honest reflection that attempts to distinguish clearly between what I genuinely want and value and what I think I should want or what would be most convenient or most impressive to want given the social and professional context in which the decision is being made. The actual commitment to a direction comes only after that reflection has produced sufficient clarity and honest alignment between the analytical and values-based dimensions of the choice to justify the real confidence that genuine commitment requires.</t>
  </si>
  <si>
    <t>I try to pause, assess honestly what actually happened and why, extract any genuine lessons available, and then adapt and move forward without excessive and ultimately unhelpful rumination.</t>
  </si>
  <si>
    <t>When things fail to go according to plan, my response has become considerably more grounded and constructively oriented over time as I have genuinely internalised the lesson that the gap between plan and reality is a near universal feature of any ambitious undertaking rather than evidence of personal inadequacy or fundamental misjudgment worth dwelling on unproductively. The most valuable immediate response, in my experience, is a brief and genuinely honest assessment of what actually happened and what it reveals about the situation and my own understanding of it, followed quickly by a deliberate reorientation toward whatever adjusted approach the actual circumstances now genuinely call for and support.</t>
  </si>
  <si>
    <t>My response to plans failing to unfold as intended has been one of the areas of my functioning that has genuinely and lastingly improved through both deliberate practice and accumulated experience of navigating enough significant deviations from expectation to have developed something approaching a genuine and reliable equanimity about the whole phenomenon rather than the initial anxiety and resistance that characterised my earlier responses to any significant departure from what I had carefully and confidently anticipated. What I have come to understand most clearly about plans not working out is that the plan was never the point but simply the best available approximation of how to reach something that genuinely matters, and that the appropriate response to discovering a better or more accurate map is genuine gratitude for the information rather than distress about the discrepancy between what was predicted and what actually turned out to be the case. The practical response I try to enact is a brief, honest, and genuinely open assessment of what the actual situation is and what it genuinely requires, followed by deliberate commitment to the best available adjusted approach without the kind of extended and ultimately unproductive rumination that consumes energy needed for effective forward movement.</t>
  </si>
  <si>
    <t>By protecting the most essential recovery habits absolutely, prioritising with genuine ruthlessness, and being honest with people about what I can and cannot realistically deliver.</t>
  </si>
  <si>
    <t>During genuinely busy and demanding periods, my approach to managing stress centres on protecting the specific habits and practices that I know from experience are most critical to maintaining the quality of functioning that demanding work actually requires, even when those habits feel like luxuries relative to the volume of competing work demands pressing for the same time and attention. Sleep, some form of physical movement, and genuinely honest communication with the people I am working with about what is actually possible are the three things I try hardest to protect even when everything else is under significant pressure and competing vigorously for the same limited resources of time and energy.</t>
  </si>
  <si>
    <t>Managing stress during genuinely busy and demanding periods is something I have developed a considerably more sophisticated and honest approach to over time, largely through the specific lessons provided by previous busy periods where I managed stress poorly enough that the quality of my work and relationships suffered in ways that were ultimately more costly than any amount of additional work time could compensate for or repair after the fact. The approach I now try to consistently implement prioritises maintaining the specific habits and practices that my best functioning genuinely depends on above almost all other competing demands, even when the mathematics of available time appear to make that prioritisation unjustifiable in purely rational terms. The evidence from my own direct experience is clear and consistently confirmed that sleep, regular physical movement, and genuinely honest communication about what is and is not possible to deliver at high quality are the three things that must be protected most fiercely precisely in the periods when everything else is competing most aggressively for the same resources of time, attention, and genuine capacity.</t>
  </si>
  <si>
    <t>Through movement, genuine rest, honest conversation with people I trust, and deliberate attention to the specific habits that most reliably sustain my basic functioning and overall resilience.</t>
  </si>
  <si>
    <t>My typical response to significant stress involves a deliberate combination of immediate physiological regulation through movement and honest acknowledgment of what is actually causing the stress rather than the anxious avoidance of that honest examination that often feels more immediately appealing but consistently makes the underlying situation worse and more difficult to address effectively over time. I have also learned to distinguish quite carefully between productive engagement with genuine problems that stress is usefully signalling need attention and the kind of ruminative worry that simply recycles the same anxious thoughts without producing any genuine movement toward understanding or resolution.</t>
  </si>
  <si>
    <t>How I typically handle stress is a question I can now answer with genuine specificity and honest self-knowledge rather than the somewhat generic and aspirational response I might have offered in earlier years before accumulating sufficient direct experience of what actually works for me as an individual rather than what is conventionally recommended or theoretically sound in a general and person-independent sense. The most reliable and genuinely effective element of my stress response is physical movement, specifically going for a run or walk outdoors, which produces an immediate and consistently measurable shift in my physiological state that makes everything else considerably more accessible and manageable than it felt before the movement. Following that, honest acknowledgment of what is specifically driving the stress, ideally in conversation with someone I genuinely trust to engage with it honestly rather than simply reassure me, consistently helps to separate what is within my real capacity to influence and address from what is genuinely beyond my control and therefore better held with acceptance than engaged with through futile and ultimately exhausting effort to eliminate or resolve.</t>
  </si>
  <si>
    <t>Good food, a long walk somewhere genuinely beautiful, and the company of someone who knows me well enough to be honestly and warmly present with me.</t>
  </si>
  <si>
    <t>On a bad day my most reliable approaches to genuine restoration rather than simple distraction are the ones that address the specific quality of depletion that bad days tend to produce rather than simply filling available time with activities that prevent me from thinking about what is actually wrong. Movement outdoors, cooking something genuinely absorbing that draws my full sensory attention, and time with specific people whose presence is reliably restorative rather than simply pleasant are the things that most consistently and meaningfully help rather than simply passing the time until the bad day is over and something better has taken its place.</t>
  </si>
  <si>
    <t>What genuinely helps on a bad day is something I have come to know with reasonable specificity and honest self-awareness through the accumulated experience of many bad days and the honest examination of what actually restored my sense of capacity and wellbeing rather than what merely provided temporary relief or comfortable distraction that left the underlying depletion essentially unaddressed and still fully present beneath the surface of an improved mood. The approaches that work most genuinely and most lastingly for me all share a quality of genuine engagement with something real and immediate rather than distraction from what is actually the case and how it honestly feels. Going outside and moving my body through some genuinely natural environment is consistently the most reliable single intervention, partly for the physiological effects of movement and partly for the particular quality of perspective that genuine immersion in natural environments produces in me in ways that no indoor activity fully replicates. Cooking something genuinely demanding and absorbing that requires my full sensory and creative attention provides a different but equally real form of genuine restoration that I find consistently valuable and reliably mood-improving regardless of how bad the day has been.</t>
  </si>
  <si>
    <t>Genuinely a morning person, as my best thinking, clearest focus, and most reliable creative capacity are consistently available in the early and quietest hours of the day.</t>
  </si>
  <si>
    <t>I am fairly clearly and consistently a morning person, though this has become considerably more pronounced as I have gotten older and as my priorities have shifted toward the kind of sustained and genuinely demanding intellectual work that benefits most from the particular quality of fresh and undepleted mental energy that early mornings reliably provide before the accumulated decisions, conversations, and demands of the day have progressively consumed the cognitive resources that serious work genuinely requires.</t>
  </si>
  <si>
    <t>The morning versus night owl question is one I can answer with genuine confidence and considerable specificity about why my strong morning orientation is not simply a preference but reflects something real and consistent about when my best capacities are most fully and reliably available to me. My most genuinely focused and creatively engaged thinking happens consistently in the early morning hours before the day's accumulated demands and social obligations have begun to fragment my attention and deplete the particular quality of fresh and open mental energy that genuinely demanding intellectual work requires and consumes in ways that later in the day I can replenish only partially and imperfectly through deliberate rest and recovery. The evenings have their own genuine pleasures, particularly for reading and for the kind of reflective and unhurried conversation that benefits from a somewhat less sharp but more relaxed and emotionally available quality of presence than the focused mornings tend to produce. But for anything that genuinely matters and requires my very best, the early morning remains the time that most consistently and reliably delivers what the work actually deserves and needs from me.</t>
  </si>
  <si>
    <t>Definitely a morning person, and protecting those early hours for my most demanding and genuinely important work has made a real and measurable difference to my overall output and daily satisfaction.</t>
  </si>
  <si>
    <t>Being a clear morning person has shaped my professional habits in genuinely significant and specific ways, most importantly through the consistent prioritisation of the most demanding and genuinely important work during the early morning hours when my cognitive capacity and focused attention are most fully available rather than scheduling those tasks for later in the day when the accumulated demands of meetings, communications, and ordinary professional interactions have meaningfully depleted exactly the mental resources that serious intellectual work most critically requires and depends upon.</t>
  </si>
  <si>
    <t>My strong morning orientation has shaped my professional life in ways that go considerably deeper than simply determining what time I prefer to start working each day. It has influenced how I structure entire working days, which kinds of work I prioritise for which hours, and how I think about and manage the social and communicative demands that inevitably compete with genuinely focused individual work for the same fundamentally limited pool of daily mental energy and attention. The most genuinely demanding intellectual work I do happens consistently between about six and ten in the morning, before any meetings or communications have begun to fragment my attention and shift my cognitive mode from the deep and sustained focus that demanding work requires to the more reactive and interpersonally oriented mode that effective collaboration and communication demand instead. Protecting that morning block against competing claims and the seemingly reasonable flexibility requests that always exist has been one of the most genuinely valuable and productively impactful professional decisions I have made, producing a consistently higher quality of output on the work that matters most than any alternative scheduling approach I have tried has been able to replicate or match.</t>
  </si>
  <si>
    <t>The genuine sense that what I am doing matters and is honestly worth giving my very best effort to is my most reliable and deeply sustaining source of real motivation.</t>
  </si>
  <si>
    <t>What motivates me most deeply and most reliably over any extended period is the honest sense that the work I am engaged in genuinely matters, that it contributes something real to something I care about beyond my own immediate comfort and convenience, and that I am growing and genuinely developing through the engagement with it rather than simply executing familiar routines at an adequately competent level. External recognition and material rewards are real motivators in the short term but consistently prove insufficient to sustain genuine effort and creative engagement over any longer arc of time in which the intrinsic quality of the work itself must carry the weight of continued commitment.</t>
  </si>
  <si>
    <t>Identifying what motivates me most honestly requires distinguishing between what produces short-term bursts of effortful engagement and what sustains genuine commitment and creative investment across the longer periods that any meaningful and ambitious undertaking actually requires. External recognition and immediate positive feedback are genuine motivators in a real but ultimately rather shallow and unreliable sense, as their motivating power tends to dissipate quickly and to create a dependency on continuous external validation that is both psychologically uncomfortable and practically very difficult to maintain at sufficient intensity across any extended period of real work. What I have come to understand as my most genuine and most reliably sustaining source of motivation is the direct experience of genuine progress toward something that I honestly believe matters, combined with the particular satisfaction of working at the full extent of my current capabilities rather than well within the comfortable margins of what I can do without genuine effort or the real risk of falling meaningfully short of my own most honest standards.</t>
  </si>
  <si>
    <t>More settled, considerably more honest with myself, and considerably less anxious about the opinions and judgments of people whose views I once gave far too much weight to.</t>
  </si>
  <si>
    <t>The changes I feel most genuinely and honestly across the years are less about the accumulation of specific achievements or the arrival at any particular destination and more about the quality of the internal orientation I bring to whatever circumstances and challenges I encounter. I am considerably more honest with myself now about what I actually want and genuinely need than I was in earlier years when the gap between authentic preference and performed appropriateness was often embarrassingly large and consistently costly in the wasted effort and misdirected energy it produced.</t>
  </si>
  <si>
    <t>How I have changed over the years is a question I find genuinely interesting to approach honestly rather than through the comfortable narrative of simply having become better in every respect, which is neither fully true nor particularly illuminating about what has actually shifted and why. The changes I feel most clearly and most consequentially are primarily in the quality and honesty of my relationship with my own values and genuine needs, which are considerably more accurately known and more reliably respected in my actual choices and behaviour than they were in earlier periods when what I thought I should want and what I actually and deeply wanted diverged much more significantly and problematically than I was willing to honestly acknowledge at the time. I am also meaningfully less driven by external validation and approval than I once was, not through any heroic act of deliberate self-improvement but through the gradual accumulation of enough experience to have genuinely understood at a deep level that the opinions of people I am not genuinely close to are simply not very important compared to the quality of my own honest engagement with the work and relationships that actually define and constitute my real life.</t>
  </si>
  <si>
    <t>Consistent early rising, regular exercise, serious reading, and the habit of genuine honest reflection have collectively and cumulatively transformed my daily life in profound and lasting ways.</t>
  </si>
  <si>
    <t>The habits that have made the most genuinely significant and measurable difference to the overall quality of my life are those that compound quietly and consistently over time rather than producing dramatic immediate results that would make them obviously and convincingly worthwhile from the very beginning of any attempt to establish them. Consistent early rising, regular physical movement, deliberate reading across a broad range of genuinely challenging material, and the practice of honest reflection about how I am actually spending my time relative to what I genuinely value are the four that have produced the clearest and most lasting positive effects across every other important dimension of how I live and work.</t>
  </si>
  <si>
    <t>The habits that have genuinely improved my life the most share a quality that makes them considerably harder to establish than their apparent simplicity might initially suggest, which is that their real benefits are cumulative and largely invisible over any short assessment period, making the sustained commitment they require genuinely difficult to maintain during the early months before the compounding effects have become clearly enough visible to provide their own reinforcing momentum. Early morning rising has produced a quality of daily life that I would find genuinely very difficult to voluntarily give up, not because I particularly love waking early for its own sake but because of what those early and quiet hours consistently make possible in terms of the depth and quality of work and thinking I can bring to whatever genuinely matters most that particular day. Regular physical movement has proven even more comprehensively beneficial than I initially expected, improving not just physical health in the obvious ways but sleep quality, stress resilience, emotional stability, and the particular quality of cognitive clarity and creative openness that genuinely demanding intellectual work requires and that sedentary daily living consistently and rather significantly undermines over time.</t>
  </si>
  <si>
    <t>Periods of genuine professional difficulty and the specific experience of rebuilding confidence after meaningful setbacks have shaped me more fundamentally than any success I have achieved.</t>
  </si>
  <si>
    <t>The challenges that have shaped me most profoundly are those that required something of me that I was not certain I actually possessed when they arrived, rather than those that tested capabilities I already had in well-developed and reliable form. Difficulty that operates within your existing competencies, however uncomfortable it might be, teaches you relatively little compared to difficulty that genuinely exposes the boundaries and real limitations of those competencies and demands that you honestly engage with what is missing rather than simply working harder or more cleverly with what you already have available to deploy.</t>
  </si>
  <si>
    <t>Looking honestly at which challenges have shaped me most fundamentally, the pattern that emerges is somewhat different from what I might have predicted or what the more comfortable version of my own narrative about personal development might suggest. The challenges that have produced the deepest and most lasting changes in who I am and how I engage with the world are not the dramatic crises that are most naturally memorable and easiest to narrate as formative experiences, but the more sustained and quieter difficulties that required me to sit honestly with uncomfortable realities about myself and my actual capabilities over extended periods without the relief of a clear resolution or the distraction of dramatic external circumstances demanding immediate attention and action. Those sustained and somewhat unglamorous periods of genuine difficulty and honest self-examination are where the most fundamental personal development seems to actually occur, not because suffering is inherently good or because difficulty is intrinsically valuable, but because those are the conditions under which the comfortable and mostly unconscious assumptions about oneself that ordinary successful life allows you to maintain become genuinely and unavoidably visible and open to honest revision.</t>
  </si>
  <si>
    <t>Honesty, genuine curiosity, consistent kindness, and the courage to act according to my actual values even when that is genuinely difficult and costly to do.</t>
  </si>
  <si>
    <t>The values I hold most centrally and genuinely are honesty in all its demanding dimensions, the quality of genuine curiosity about the world and about other people that keeps engagement fresh and prevents the kind of complacent certainty that closes off genuine learning, consistent kindness that operates as a real and active orientation rather than simply a pleasant default when nothing is at stake, and the particular integrity of behaving consistently with what I actually believe regardless of the social cost or personal inconvenience that consistency occasionally requires and genuinely demands.</t>
  </si>
  <si>
    <t>The values I consider most genuinely central to who I am and how I most want to engage with my life are ones I have arrived at through real experience of both living in accordance with them and failing to do so, rather than simply inheriting them as abstract principles from the cultural context I grew up in without genuinely testing them against the complexity and genuine difficulty of actual situations where they needed to be actively and sometimes costly honoured rather than simply affirmed in comfortable conditions where the cost of doing so was essentially zero. Honesty is primary among them, not in the simple sense of avoiding explicit false statements but in the deeper and more demanding sense of actively seeking and honestly engaging with what is actually true even when that truth is uncomfortable or inconvenient for my existing beliefs and preferences. Genuine curiosity about the world and about other people feels equally central and equally non-negotiable, as it is the quality that keeps engagement with experience genuinely fresh and prevents the progressive closure into comfortable certainty that seems to me one of the most significant and genuinely saddening forms of decline available to any thoughtful person across a complete lifetime of living.</t>
  </si>
  <si>
    <t>By genuine importance rather than urgency, protecting the most demanding and meaningful work for the hours when my focus and energy are most fully and reliably available.</t>
  </si>
  <si>
    <t>My approach to task prioritisation is built around a fairly clear and consistently applied distinction between what is genuinely important for the things I most care about over any meaningful time horizon and what is simply urgent in the sense of demanding immediate attention regardless of its actual contribution to anything that genuinely and deeply matters. Keeping that distinction genuinely alive and operationally active in daily work, rather than allowing urgency to perpetually displace importance through the simple mechanism of being more immediately pressing and emotionally demanding, is the single most important and most consistently difficult element of effective personal organisation in any demanding and complex working life.</t>
  </si>
  <si>
    <t>How I prioritise my tasks reflects a fairly deliberate and honestly self-aware approach to time and attention management that has developed through accumulated experience of what actually produces the outcomes I most care about versus what simply fills available time with activity that feels productive but contributes relatively little to what genuinely matters over any extended period of real consequence. The framework I try to apply consistently distinguishes clearly between work that only I can do and that genuinely requires my best capacity, work that I can do adequately but that others might do equally well or better, and work that is pressing but not particularly important in any deeper sense and that therefore deserves the minimum necessary attention rather than the disproportionate share of time and energy that its urgency tends to demand and claim if not actively and deliberately managed against. Protecting time for the first category during the hours when my capacity is genuinely highest is the single most consequential prioritisation decision I make on any given day, and it consistently produces better overall outcomes than any amount of efficient management of the second and third categories without that fundamental protection in place.</t>
  </si>
  <si>
    <t>Someone close to me whose combination of genuine intellectual integrity, consistent warmth, and quiet moral courage has shaped my values and aspirations more profoundly than anyone else.</t>
  </si>
  <si>
    <t>The person who has genuinely and most lastingly influenced my life is not a famous or publicly known figure but someone I have known in genuinely close personal proximity across many years and many different kinds of situations and challenges. What makes their influence so deep and so lasting is not any single lesson or dramatic intervention but the cumulative effect of consistent exposure to a quality of character and way of engaging with the world that gradually and quietly reset my own sense of what is genuinely possible and worth honestly aspiring to in how one lives and treats other people across a complete and real human life.</t>
  </si>
  <si>
    <t>Identifying the single most influential person in my life requires honesty about the difference between people who have been dramatically impactful in obvious and clearly naratable ways and those whose influence has been deeper and more fundamental because it operated over many years and through the quiet medium of consistent example rather than memorable intervention or dramatic instruction. The person who genuinely qualifies as most influential in my actual development is someone whose combination of real intellectual seriousness and genuine human warmth, of high and consistently maintained personal standards alongside real and active generosity toward others, and of honest self-knowledge alongside the particular courage that genuine self-knowledge makes possible, has provided me with a lasting reference point for what genuinely good and worthwhile human engagement looks like in practice rather than simply in aspiration and comfortable self-description.</t>
  </si>
  <si>
    <t>Honest, genuinely curious, warm, and intellectually engaged people whose presence consistently leaves me feeling genuinely enriched and authentically seen and understood.</t>
  </si>
  <si>
    <t>The people I most genuinely and consistently enjoy spending time with share a quality of authentic engagement with ideas and with other people that is considerably rarer in actual social practice than its apparent simplicity might suggest. They are genuinely curious about things beyond their immediate personal concerns, honestly willing to be changed by a good argument or a genuinely new perspective, reliably warm without requiring that warmth to be performed rather than genuinely felt and freely expressed, and consistently honest in ways that make conversation with them feel like real and productive engagement rather than careful and somewhat exhausting mutual impression management.</t>
  </si>
  <si>
    <t>The people I most genuinely and deeply enjoy spending time with are those in whose company I consistently experience what I can only describe as a particular quality of genuine mutual presence that is surprisingly rare in most social contexts and that I have come to value very highly precisely because of how uncommon it actually is in ordinary daily life. What characterises that quality is a combination of real intellectual engagement that takes ideas seriously and follows them honestly wherever they genuinely lead, authentic personal warmth that creates real safety for honest expression without requiring constant careful management of what is said and how, and the particular generosity of genuine curiosity about the other person's actual experience and perspective rather than primarily using social interaction as a vehicle for self-expression and impression management. People who combine those qualities create the conditions for exactly the kind of deep and genuinely nourishing connection that I find most valuable and most enriching in any sustained social relationship.</t>
  </si>
  <si>
    <t>Profoundly and in almost every dimension, making some things genuinely and remarkably easier while creating entirely new challenges around focus, presence, and genuine rest that previous generations never had to navigate.</t>
  </si>
  <si>
    <t>Technology has changed my daily routine so comprehensively that imagining life without its current central role is genuinely quite difficult, which is itself a somewhat sobering observation about how deeply and quickly the transformation has occurred relative to any previous comparable shift in how people organise and experience their daily lives. The changes have been almost uniformly double-edged, producing genuine efficiency and remarkable new capabilities alongside new vulnerabilities and challenges that previous generations of daily life did not include and that current cultural wisdom about how to manage them well is still genuinely and rather urgently developing.</t>
  </si>
  <si>
    <t>The ways technology has changed my daily routine are so comprehensive and so deeply embedded in every dimension of how I live and work that honest examination of the changes requires careful attention to distinguish between what has genuinely improved, what has genuinely deteriorated, and what has simply changed in ways that are neither obviously better nor obviously worse but simply different from what preceded them and from what a life without those technologies would involve and offer. On the clearly positive side, the access to information, to people, and to tools that current technology provides is genuinely extraordinary and enables kinds of work and connection that were simply not available at any previous point in human history. On the genuinely concerning side, the constant availability of the same technology that makes those remarkable capabilities possible has produced new and serious challenges around sustained attention, genuine rest, and the quality of presence in immediate experience and direct relationships that the best versions of my life require and that I have to actively and deliberately protect rather than assuming will maintain themselves naturally against the structural incentives that most current technology consistently and quite powerfully works against.</t>
  </si>
  <si>
    <t>Through deliberate limits on screen time, notification management, genuine device-free periods, and consistent honest attention to whether my technology use is actually serving my real values and genuine priorities.</t>
  </si>
  <si>
    <t>Managing my digital wellbeing has become an increasingly deliberate and explicitly designed aspect of how I organise my daily life, reflecting a hard-won understanding that genuinely good digital habits do not emerge naturally from good intentions alone but require specific environmental and behavioural design choices that make desirable patterns the path of least resistance rather than requiring constant willpower to maintain against structural incentives that consistently pull in very different directions.</t>
  </si>
  <si>
    <t>My approach to managing digital wellbeing has evolved from a primarily reactive and willpower-based model toward something considerably more structural and deliberately designed, reflecting the honest recognition that good intentions and periodic resolve are genuinely insufficient to produce lasting change in the specific patterns and habits that digital technology tends to create and sustain through mechanisms that are not primarily responsive to conscious intention and good character. The most effective changes I have made are environmental rather than purely behavioural, removing applications from my phone that produce more habitual checking than genuinely purposeful use, disabling most notification systems so that I engage with incoming information on my own schedule rather than being continuously interrupted by the stream of demands that unrestricted notification access produces, and establishing specific times and specific physical locations as genuinely screen-free zones where the expectation of digital absence is clear and consistently maintained. These structural changes have produced more lasting and reliable improvement than any amount of resolved intention to simply use technology more mindfully and deliberately without changing the specific environmental conditions that made excessive and somewhat compulsive use the path of least resistance.</t>
  </si>
  <si>
    <t>Modern jobs demand far more cognitive flexibility, continuous learning, and genuine comfort with ambiguity and constant change than most work of previous generations typically required or expected.</t>
  </si>
  <si>
    <t>The differences between modern jobs and those of previous generations are profound enough that simple comparison risks understating how fundamentally the nature and experience of work has changed rather than simply evolved incrementally in ways that are continuous with what preceded them. The shift from primarily physical to primarily cognitive and interpersonal labour as the dominant form of economically valued work has altered not just what people do in their working lives but how that work relates to their sense of identity, their experience of time, and the genuine difficulty of establishing clear and sustainable boundaries between working life and personal life in ways that the more physically distinct nature of most previous work made considerably more naturally and automatically available.</t>
  </si>
  <si>
    <t>The differences between modern jobs and those of previous generations are sufficiently profound and multi-dimensional that honest examination of them requires care about which specific dimensions are most genuinely significant rather than most simply visible or most conveniently dramatic to describe. The most fundamental shift, in my view, is the one from jobs that were primarily defined by specific and relatively stable tasks and skills performed in clear and fixed physical locations and social contexts to jobs that are increasingly defined by continuous cognitive and interpersonal adaptation in response to rapidly and unpredictably changing conditions, tools, and expectations. This shift has produced genuine gains in the form of greater autonomy, more varied and intellectually engaging work for many people, and dramatically expanded access to information and capability. It has simultaneously produced new forms of difficulty and genuine vulnerability, particularly around the constant cognitive demand of processing perpetually changing information, the blurring of boundaries between work and personal time that digital connectivity produces, and the persistent anxiety about whether one's current skills will remain relevant and valued across the arc of an entire working life rather than simply for the near term future that can be anticipated with reasonable confidence.</t>
  </si>
  <si>
    <t>Genuinely central and probably more important than I am entirely comfortable with, as I am deeply aware that my dependence on it represents both real value and real vulnerability simultaneously.</t>
  </si>
  <si>
    <t>My smartphone is important enough in my daily life that its sudden absence would create genuine and significant practical disruption across multiple dimensions of how I communicate, navigate, access information, and manage the various logistical demands of modern working and personal life. Whether that level of importance is fully justified by genuine value or partly reflects a dependency that has grown beyond what genuinely serves my actual interests and values is a question I try to hold honestly rather than resolving too quickly in either a defensively dismissive or unnecessarily dramatic direction.</t>
  </si>
  <si>
    <t>The importance of my smartphone in my daily life is something I try to examine with genuine honesty rather than either the comfortable normalisation that makes excessive dependency invisible through its very ubiquity or the somewhat performative concern about technology that acknowledges the problem rhetorically without actually engaging with it seriously enough to produce meaningful change in behaviour and habits. The honest assessment is that my smartphone provides genuine and substantial value across multiple important dimensions of my daily functioning, from communication and navigation to information access and the management of various practical logistics that would be considerably more effortful and time-consuming without it. It also creates genuine and substantial costs that I take seriously, particularly in the fragmentation of sustained attention that habitual checking produces even when the individual checks are individually brief and apparently trivial, and in the subtle but real way that always having an immediately available alternative to genuine presence with immediate experience gradually and somewhat invisibly erodes the quality of engagement with everything that actually matters most in my daily life when examined honestly and without the comfortable rationalisation that most of it is genuinely necessary and purposeful rather than largely habitual and essentially optional.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</si>
</sst>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2.0"/>
      <color theme="1"/>
      <name val="Times"/>
    </font>
    <font>
      <sz val="12.0"/>
      <color theme="1"/>
      <name val="Times"/>
    </font>
    <font>
      <color theme="1"/>
      <name val="Calibri"/>
      <scheme val="minor"/>
    </font>
    <font>
      <b/>
      <sz val="12.0"/>
      <color theme="1"/>
      <name val="Calibri"/>
    </font>
    <font>
      <b/>
      <sz val="12.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center" vertical="bottom"/>
    </xf>
    <xf borderId="0" fillId="0" fontId="3" numFmtId="0" xfId="0" applyAlignment="1" applyFont="1">
      <alignment readingOrder="0"/>
    </xf>
    <xf borderId="0" fillId="0" fontId="4" numFmtId="0" xfId="0" applyAlignment="1" applyFont="1">
      <alignment horizontal="center"/>
    </xf>
    <xf borderId="0" fillId="0" fontId="5" numFmtId="0" xfId="0" applyAlignment="1" applyFont="1">
      <alignment horizontal="center"/>
    </xf>
    <xf borderId="0" fillId="0" fontId="2" numFmtId="49" xfId="0" applyAlignment="1" applyFont="1" applyNumberForma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17.29"/>
    <col customWidth="1" min="3" max="3" width="255.71"/>
    <col customWidth="1" min="4" max="4" width="13.14"/>
    <col customWidth="1" min="5" max="5" width="11.57"/>
    <col customWidth="1" min="6" max="7" width="11.71"/>
    <col customWidth="1" min="8" max="8" width="9.14"/>
    <col customWidth="1" min="9" max="29" width="8.71"/>
  </cols>
  <sheetData>
    <row r="1" ht="14.25" customHeight="1">
      <c r="A1" s="1" t="s">
        <v>0</v>
      </c>
      <c r="B1" s="2" t="s">
        <v>1</v>
      </c>
      <c r="C1" s="3" t="s">
        <v>2</v>
      </c>
      <c r="D1" s="1" t="s">
        <v>3</v>
      </c>
      <c r="E1" s="1" t="s">
        <v>4</v>
      </c>
      <c r="F1" s="1" t="s">
        <v>5</v>
      </c>
      <c r="G1" s="4" t="s">
        <v>6</v>
      </c>
      <c r="H1" s="2"/>
    </row>
    <row r="2" ht="14.25" customHeight="1">
      <c r="A2" s="1">
        <v>1.0</v>
      </c>
      <c r="B2" s="1">
        <v>1.0</v>
      </c>
      <c r="C2" s="5" t="s">
        <v>7</v>
      </c>
      <c r="D2" s="6">
        <f>IFERROR(__xludf.DUMMYFUNCTION("COUNTA(SPLIT(TRIM(C2),"" ""))"),21.0)</f>
        <v>21</v>
      </c>
      <c r="E2" s="7">
        <f t="shared" ref="E2:E829" si="1">Round(D2/2,0)</f>
        <v>11</v>
      </c>
      <c r="F2" s="7" t="str">
        <f t="shared" ref="F2:F829" si="2">CONCAT(A2,".mp3")</f>
        <v>1.mp3</v>
      </c>
      <c r="G2" s="8" t="s">
        <v>8</v>
      </c>
    </row>
    <row r="3" ht="14.25" customHeight="1">
      <c r="A3" s="1">
        <v>2.0</v>
      </c>
      <c r="B3" s="1">
        <v>1.0</v>
      </c>
      <c r="C3" s="5" t="s">
        <v>9</v>
      </c>
      <c r="D3" s="6">
        <f>IFERROR(__xludf.DUMMYFUNCTION("COUNTA(SPLIT(TRIM(C3),"" ""))"),64.0)</f>
        <v>64</v>
      </c>
      <c r="E3" s="7">
        <f t="shared" si="1"/>
        <v>32</v>
      </c>
      <c r="F3" s="7" t="str">
        <f t="shared" si="2"/>
        <v>2.mp3</v>
      </c>
      <c r="G3" s="8" t="s">
        <v>8</v>
      </c>
    </row>
    <row r="4" ht="14.25" customHeight="1">
      <c r="A4" s="1">
        <v>3.0</v>
      </c>
      <c r="B4" s="1">
        <v>1.0</v>
      </c>
      <c r="C4" s="5" t="s">
        <v>10</v>
      </c>
      <c r="D4" s="6">
        <f>IFERROR(__xludf.DUMMYFUNCTION("COUNTA(SPLIT(TRIM(C4),"" ""))"),88.0)</f>
        <v>88</v>
      </c>
      <c r="E4" s="7">
        <f t="shared" si="1"/>
        <v>44</v>
      </c>
      <c r="F4" s="7" t="str">
        <f t="shared" si="2"/>
        <v>3.mp3</v>
      </c>
      <c r="G4" s="8" t="s">
        <v>8</v>
      </c>
    </row>
    <row r="5" ht="14.25" customHeight="1">
      <c r="A5" s="1">
        <v>4.0</v>
      </c>
      <c r="B5" s="1">
        <v>2.0</v>
      </c>
      <c r="C5" s="5" t="s">
        <v>11</v>
      </c>
      <c r="D5" s="6">
        <f>IFERROR(__xludf.DUMMYFUNCTION("COUNTA(SPLIT(TRIM(C5),"" ""))"),23.0)</f>
        <v>23</v>
      </c>
      <c r="E5" s="7">
        <f t="shared" si="1"/>
        <v>12</v>
      </c>
      <c r="F5" s="7" t="str">
        <f t="shared" si="2"/>
        <v>4.mp3</v>
      </c>
      <c r="G5" s="8" t="s">
        <v>8</v>
      </c>
    </row>
    <row r="6" ht="14.25" customHeight="1">
      <c r="A6" s="1">
        <v>5.0</v>
      </c>
      <c r="B6" s="1">
        <v>2.0</v>
      </c>
      <c r="C6" s="5" t="s">
        <v>12</v>
      </c>
      <c r="D6" s="6">
        <f>IFERROR(__xludf.DUMMYFUNCTION("COUNTA(SPLIT(TRIM(C6),"" ""))"),66.0)</f>
        <v>66</v>
      </c>
      <c r="E6" s="7">
        <f t="shared" si="1"/>
        <v>33</v>
      </c>
      <c r="F6" s="7" t="str">
        <f t="shared" si="2"/>
        <v>5.mp3</v>
      </c>
      <c r="G6" s="8" t="s">
        <v>8</v>
      </c>
    </row>
    <row r="7" ht="14.25" customHeight="1">
      <c r="A7" s="1">
        <v>6.0</v>
      </c>
      <c r="B7" s="1">
        <v>2.0</v>
      </c>
      <c r="C7" s="5" t="s">
        <v>13</v>
      </c>
      <c r="D7" s="6">
        <f>IFERROR(__xludf.DUMMYFUNCTION("COUNTA(SPLIT(TRIM(C7),"" ""))"),101.0)</f>
        <v>101</v>
      </c>
      <c r="E7" s="7">
        <f t="shared" si="1"/>
        <v>51</v>
      </c>
      <c r="F7" s="7" t="str">
        <f t="shared" si="2"/>
        <v>6.mp3</v>
      </c>
      <c r="G7" s="8" t="s">
        <v>8</v>
      </c>
    </row>
    <row r="8" ht="14.25" customHeight="1">
      <c r="A8" s="1">
        <v>7.0</v>
      </c>
      <c r="B8" s="1">
        <v>3.0</v>
      </c>
      <c r="C8" s="5" t="s">
        <v>14</v>
      </c>
      <c r="D8" s="6">
        <f>IFERROR(__xludf.DUMMYFUNCTION("COUNTA(SPLIT(TRIM(C8),"" ""))"),22.0)</f>
        <v>22</v>
      </c>
      <c r="E8" s="7">
        <f t="shared" si="1"/>
        <v>11</v>
      </c>
      <c r="F8" s="7" t="str">
        <f t="shared" si="2"/>
        <v>7.mp3</v>
      </c>
      <c r="G8" s="8" t="s">
        <v>8</v>
      </c>
    </row>
    <row r="9" ht="14.25" customHeight="1">
      <c r="A9" s="1">
        <v>8.0</v>
      </c>
      <c r="B9" s="1">
        <v>3.0</v>
      </c>
      <c r="C9" s="5" t="s">
        <v>15</v>
      </c>
      <c r="D9" s="6">
        <f>IFERROR(__xludf.DUMMYFUNCTION("COUNTA(SPLIT(TRIM(C9),"" ""))"),67.0)</f>
        <v>67</v>
      </c>
      <c r="E9" s="7">
        <f t="shared" si="1"/>
        <v>34</v>
      </c>
      <c r="F9" s="7" t="str">
        <f t="shared" si="2"/>
        <v>8.mp3</v>
      </c>
      <c r="G9" s="8" t="s">
        <v>8</v>
      </c>
    </row>
    <row r="10" ht="14.25" customHeight="1">
      <c r="A10" s="1">
        <v>9.0</v>
      </c>
      <c r="B10" s="1">
        <v>3.0</v>
      </c>
      <c r="C10" s="5" t="s">
        <v>16</v>
      </c>
      <c r="D10" s="6">
        <f>IFERROR(__xludf.DUMMYFUNCTION("COUNTA(SPLIT(TRIM(C10),"" ""))"),120.0)</f>
        <v>120</v>
      </c>
      <c r="E10" s="7">
        <f t="shared" si="1"/>
        <v>60</v>
      </c>
      <c r="F10" s="7" t="str">
        <f t="shared" si="2"/>
        <v>9.mp3</v>
      </c>
      <c r="G10" s="8" t="s">
        <v>8</v>
      </c>
    </row>
    <row r="11" ht="14.25" customHeight="1">
      <c r="A11" s="1">
        <v>10.0</v>
      </c>
      <c r="B11" s="1">
        <v>4.0</v>
      </c>
      <c r="C11" s="5" t="s">
        <v>17</v>
      </c>
      <c r="D11" s="6">
        <f>IFERROR(__xludf.DUMMYFUNCTION("COUNTA(SPLIT(TRIM(C11),"" ""))"),23.0)</f>
        <v>23</v>
      </c>
      <c r="E11" s="7">
        <f t="shared" si="1"/>
        <v>12</v>
      </c>
      <c r="F11" s="7" t="str">
        <f t="shared" si="2"/>
        <v>10.mp3</v>
      </c>
      <c r="G11" s="8" t="s">
        <v>8</v>
      </c>
    </row>
    <row r="12" ht="14.25" customHeight="1">
      <c r="A12" s="1">
        <v>11.0</v>
      </c>
      <c r="B12" s="1">
        <v>4.0</v>
      </c>
      <c r="C12" s="5" t="s">
        <v>18</v>
      </c>
      <c r="D12" s="6">
        <f>IFERROR(__xludf.DUMMYFUNCTION("COUNTA(SPLIT(TRIM(C12),"" ""))"),71.0)</f>
        <v>71</v>
      </c>
      <c r="E12" s="7">
        <f t="shared" si="1"/>
        <v>36</v>
      </c>
      <c r="F12" s="7" t="str">
        <f t="shared" si="2"/>
        <v>11.mp3</v>
      </c>
      <c r="G12" s="8" t="s">
        <v>8</v>
      </c>
    </row>
    <row r="13" ht="14.25" customHeight="1">
      <c r="A13" s="1">
        <v>12.0</v>
      </c>
      <c r="B13" s="1">
        <v>4.0</v>
      </c>
      <c r="C13" s="5" t="s">
        <v>19</v>
      </c>
      <c r="D13" s="6">
        <f>IFERROR(__xludf.DUMMYFUNCTION("COUNTA(SPLIT(TRIM(C13),"" ""))"),120.0)</f>
        <v>120</v>
      </c>
      <c r="E13" s="7">
        <f t="shared" si="1"/>
        <v>60</v>
      </c>
      <c r="F13" s="7" t="str">
        <f t="shared" si="2"/>
        <v>12.mp3</v>
      </c>
      <c r="G13" s="8" t="s">
        <v>8</v>
      </c>
    </row>
    <row r="14" ht="14.25" customHeight="1">
      <c r="A14" s="1">
        <v>13.0</v>
      </c>
      <c r="B14" s="1">
        <v>5.0</v>
      </c>
      <c r="C14" s="5" t="s">
        <v>20</v>
      </c>
      <c r="D14" s="6">
        <f>IFERROR(__xludf.DUMMYFUNCTION("COUNTA(SPLIT(TRIM(C14),"" ""))"),24.0)</f>
        <v>24</v>
      </c>
      <c r="E14" s="7">
        <f t="shared" si="1"/>
        <v>12</v>
      </c>
      <c r="F14" s="7" t="str">
        <f t="shared" si="2"/>
        <v>13.mp3</v>
      </c>
      <c r="G14" s="8" t="s">
        <v>8</v>
      </c>
    </row>
    <row r="15" ht="14.25" customHeight="1">
      <c r="A15" s="1">
        <v>14.0</v>
      </c>
      <c r="B15" s="1">
        <v>5.0</v>
      </c>
      <c r="C15" s="5" t="s">
        <v>21</v>
      </c>
      <c r="D15" s="6">
        <f>IFERROR(__xludf.DUMMYFUNCTION("COUNTA(SPLIT(TRIM(C15),"" ""))"),77.0)</f>
        <v>77</v>
      </c>
      <c r="E15" s="7">
        <f t="shared" si="1"/>
        <v>39</v>
      </c>
      <c r="F15" s="7" t="str">
        <f t="shared" si="2"/>
        <v>14.mp3</v>
      </c>
      <c r="G15" s="8" t="s">
        <v>8</v>
      </c>
    </row>
    <row r="16" ht="14.25" customHeight="1">
      <c r="A16" s="1">
        <v>15.0</v>
      </c>
      <c r="B16" s="1">
        <v>5.0</v>
      </c>
      <c r="C16" s="5" t="s">
        <v>22</v>
      </c>
      <c r="D16" s="6">
        <f>IFERROR(__xludf.DUMMYFUNCTION("COUNTA(SPLIT(TRIM(C16),"" ""))"),120.0)</f>
        <v>120</v>
      </c>
      <c r="E16" s="7">
        <f t="shared" si="1"/>
        <v>60</v>
      </c>
      <c r="F16" s="7" t="str">
        <f t="shared" si="2"/>
        <v>15.mp3</v>
      </c>
      <c r="G16" s="8" t="s">
        <v>8</v>
      </c>
    </row>
    <row r="17" ht="14.25" customHeight="1">
      <c r="A17" s="1">
        <v>16.0</v>
      </c>
      <c r="B17" s="1">
        <v>6.0</v>
      </c>
      <c r="C17" s="5" t="s">
        <v>23</v>
      </c>
      <c r="D17" s="6">
        <f>IFERROR(__xludf.DUMMYFUNCTION("COUNTA(SPLIT(TRIM(C17),"" ""))"),21.0)</f>
        <v>21</v>
      </c>
      <c r="E17" s="7">
        <f t="shared" si="1"/>
        <v>11</v>
      </c>
      <c r="F17" s="7" t="str">
        <f t="shared" si="2"/>
        <v>16.mp3</v>
      </c>
      <c r="G17" s="8" t="s">
        <v>8</v>
      </c>
    </row>
    <row r="18" ht="14.25" customHeight="1">
      <c r="A18" s="1">
        <v>17.0</v>
      </c>
      <c r="B18" s="1">
        <v>6.0</v>
      </c>
      <c r="C18" s="5" t="s">
        <v>24</v>
      </c>
      <c r="D18" s="6">
        <f>IFERROR(__xludf.DUMMYFUNCTION("COUNTA(SPLIT(TRIM(C18),"" ""))"),72.0)</f>
        <v>72</v>
      </c>
      <c r="E18" s="7">
        <f t="shared" si="1"/>
        <v>36</v>
      </c>
      <c r="F18" s="7" t="str">
        <f t="shared" si="2"/>
        <v>17.mp3</v>
      </c>
      <c r="G18" s="8" t="s">
        <v>8</v>
      </c>
    </row>
    <row r="19" ht="14.25" customHeight="1">
      <c r="A19" s="1">
        <v>18.0</v>
      </c>
      <c r="B19" s="1">
        <v>6.0</v>
      </c>
      <c r="C19" s="5" t="s">
        <v>25</v>
      </c>
      <c r="D19" s="6">
        <f>IFERROR(__xludf.DUMMYFUNCTION("COUNTA(SPLIT(TRIM(C19),"" ""))"),116.0)</f>
        <v>116</v>
      </c>
      <c r="E19" s="7">
        <f t="shared" si="1"/>
        <v>58</v>
      </c>
      <c r="F19" s="7" t="str">
        <f t="shared" si="2"/>
        <v>18.mp3</v>
      </c>
      <c r="G19" s="8" t="s">
        <v>8</v>
      </c>
    </row>
    <row r="20" ht="14.25" customHeight="1">
      <c r="A20" s="1">
        <v>19.0</v>
      </c>
      <c r="B20" s="1">
        <v>7.0</v>
      </c>
      <c r="C20" s="5" t="s">
        <v>26</v>
      </c>
      <c r="D20" s="6">
        <f>IFERROR(__xludf.DUMMYFUNCTION("COUNTA(SPLIT(TRIM(C20),"" ""))"),23.0)</f>
        <v>23</v>
      </c>
      <c r="E20" s="7">
        <f t="shared" si="1"/>
        <v>12</v>
      </c>
      <c r="F20" s="7" t="str">
        <f t="shared" si="2"/>
        <v>19.mp3</v>
      </c>
      <c r="G20" s="8" t="s">
        <v>8</v>
      </c>
    </row>
    <row r="21" ht="14.25" customHeight="1">
      <c r="A21" s="1">
        <v>20.0</v>
      </c>
      <c r="B21" s="1">
        <v>7.0</v>
      </c>
      <c r="C21" s="5" t="s">
        <v>27</v>
      </c>
      <c r="D21" s="6">
        <f>IFERROR(__xludf.DUMMYFUNCTION("COUNTA(SPLIT(TRIM(C21),"" ""))"),74.0)</f>
        <v>74</v>
      </c>
      <c r="E21" s="7">
        <f t="shared" si="1"/>
        <v>37</v>
      </c>
      <c r="F21" s="7" t="str">
        <f t="shared" si="2"/>
        <v>20.mp3</v>
      </c>
      <c r="G21" s="8" t="s">
        <v>8</v>
      </c>
    </row>
    <row r="22" ht="14.25" customHeight="1">
      <c r="A22" s="1">
        <v>21.0</v>
      </c>
      <c r="B22" s="1">
        <v>7.0</v>
      </c>
      <c r="C22" s="5" t="s">
        <v>28</v>
      </c>
      <c r="D22" s="6">
        <f>IFERROR(__xludf.DUMMYFUNCTION("COUNTA(SPLIT(TRIM(C22),"" ""))"),118.0)</f>
        <v>118</v>
      </c>
      <c r="E22" s="7">
        <f t="shared" si="1"/>
        <v>59</v>
      </c>
      <c r="F22" s="7" t="str">
        <f t="shared" si="2"/>
        <v>21.mp3</v>
      </c>
      <c r="G22" s="8" t="s">
        <v>8</v>
      </c>
    </row>
    <row r="23" ht="14.25" customHeight="1">
      <c r="A23" s="1">
        <v>22.0</v>
      </c>
      <c r="B23" s="1">
        <v>8.0</v>
      </c>
      <c r="C23" s="5" t="s">
        <v>29</v>
      </c>
      <c r="D23" s="6">
        <f>IFERROR(__xludf.DUMMYFUNCTION("COUNTA(SPLIT(TRIM(C23),"" ""))"),24.0)</f>
        <v>24</v>
      </c>
      <c r="E23" s="7">
        <f t="shared" si="1"/>
        <v>12</v>
      </c>
      <c r="F23" s="7" t="str">
        <f t="shared" si="2"/>
        <v>22.mp3</v>
      </c>
      <c r="G23" s="8" t="s">
        <v>8</v>
      </c>
    </row>
    <row r="24" ht="14.25" customHeight="1">
      <c r="A24" s="1">
        <v>23.0</v>
      </c>
      <c r="B24" s="1">
        <v>8.0</v>
      </c>
      <c r="C24" s="5" t="s">
        <v>30</v>
      </c>
      <c r="D24" s="6">
        <f>IFERROR(__xludf.DUMMYFUNCTION("COUNTA(SPLIT(TRIM(C24),"" ""))"),65.0)</f>
        <v>65</v>
      </c>
      <c r="E24" s="7">
        <f t="shared" si="1"/>
        <v>33</v>
      </c>
      <c r="F24" s="7" t="str">
        <f t="shared" si="2"/>
        <v>23.mp3</v>
      </c>
      <c r="G24" s="8" t="s">
        <v>8</v>
      </c>
    </row>
    <row r="25" ht="14.25" customHeight="1">
      <c r="A25" s="1">
        <v>24.0</v>
      </c>
      <c r="B25" s="1">
        <v>8.0</v>
      </c>
      <c r="C25" s="5" t="s">
        <v>31</v>
      </c>
      <c r="D25" s="6">
        <f>IFERROR(__xludf.DUMMYFUNCTION("COUNTA(SPLIT(TRIM(C25),"" ""))"),121.0)</f>
        <v>121</v>
      </c>
      <c r="E25" s="7">
        <f t="shared" si="1"/>
        <v>61</v>
      </c>
      <c r="F25" s="7" t="str">
        <f t="shared" si="2"/>
        <v>24.mp3</v>
      </c>
      <c r="G25" s="8" t="s">
        <v>8</v>
      </c>
    </row>
    <row r="26" ht="14.25" customHeight="1">
      <c r="A26" s="1">
        <v>25.0</v>
      </c>
      <c r="B26" s="1">
        <v>9.0</v>
      </c>
      <c r="C26" s="5" t="s">
        <v>32</v>
      </c>
      <c r="D26" s="6">
        <f>IFERROR(__xludf.DUMMYFUNCTION("COUNTA(SPLIT(TRIM(C26),"" ""))"),23.0)</f>
        <v>23</v>
      </c>
      <c r="E26" s="7">
        <f t="shared" si="1"/>
        <v>12</v>
      </c>
      <c r="F26" s="7" t="str">
        <f t="shared" si="2"/>
        <v>25.mp3</v>
      </c>
      <c r="G26" s="8" t="s">
        <v>8</v>
      </c>
    </row>
    <row r="27" ht="14.25" customHeight="1">
      <c r="A27" s="1">
        <v>26.0</v>
      </c>
      <c r="B27" s="1">
        <v>9.0</v>
      </c>
      <c r="C27" s="5" t="s">
        <v>33</v>
      </c>
      <c r="D27" s="6">
        <f>IFERROR(__xludf.DUMMYFUNCTION("COUNTA(SPLIT(TRIM(C27),"" ""))"),74.0)</f>
        <v>74</v>
      </c>
      <c r="E27" s="7">
        <f t="shared" si="1"/>
        <v>37</v>
      </c>
      <c r="F27" s="7" t="str">
        <f t="shared" si="2"/>
        <v>26.mp3</v>
      </c>
      <c r="G27" s="8" t="s">
        <v>8</v>
      </c>
    </row>
    <row r="28" ht="14.25" customHeight="1">
      <c r="A28" s="1">
        <v>27.0</v>
      </c>
      <c r="B28" s="1">
        <v>9.0</v>
      </c>
      <c r="C28" s="5" t="s">
        <v>34</v>
      </c>
      <c r="D28" s="6">
        <f>IFERROR(__xludf.DUMMYFUNCTION("COUNTA(SPLIT(TRIM(C28),"" ""))"),128.0)</f>
        <v>128</v>
      </c>
      <c r="E28" s="7">
        <f t="shared" si="1"/>
        <v>64</v>
      </c>
      <c r="F28" s="7" t="str">
        <f t="shared" si="2"/>
        <v>27.mp3</v>
      </c>
      <c r="G28" s="8" t="s">
        <v>8</v>
      </c>
    </row>
    <row r="29" ht="14.25" customHeight="1">
      <c r="A29" s="1">
        <v>28.0</v>
      </c>
      <c r="B29" s="1">
        <v>10.0</v>
      </c>
      <c r="C29" s="5" t="s">
        <v>35</v>
      </c>
      <c r="D29" s="6">
        <f>IFERROR(__xludf.DUMMYFUNCTION("COUNTA(SPLIT(TRIM(C29),"" ""))"),25.0)</f>
        <v>25</v>
      </c>
      <c r="E29" s="7">
        <f t="shared" si="1"/>
        <v>13</v>
      </c>
      <c r="F29" s="7" t="str">
        <f t="shared" si="2"/>
        <v>28.mp3</v>
      </c>
      <c r="G29" s="8" t="s">
        <v>8</v>
      </c>
    </row>
    <row r="30" ht="14.25" customHeight="1">
      <c r="A30" s="1">
        <v>29.0</v>
      </c>
      <c r="B30" s="1">
        <v>10.0</v>
      </c>
      <c r="C30" s="5" t="s">
        <v>36</v>
      </c>
      <c r="D30" s="6">
        <f>IFERROR(__xludf.DUMMYFUNCTION("COUNTA(SPLIT(TRIM(C30),"" ""))"),76.0)</f>
        <v>76</v>
      </c>
      <c r="E30" s="7">
        <f t="shared" si="1"/>
        <v>38</v>
      </c>
      <c r="F30" s="7" t="str">
        <f t="shared" si="2"/>
        <v>29.mp3</v>
      </c>
      <c r="G30" s="8" t="s">
        <v>8</v>
      </c>
    </row>
    <row r="31" ht="14.25" customHeight="1">
      <c r="A31" s="1">
        <v>30.0</v>
      </c>
      <c r="B31" s="1">
        <v>10.0</v>
      </c>
      <c r="C31" s="5" t="s">
        <v>37</v>
      </c>
      <c r="D31" s="6">
        <f>IFERROR(__xludf.DUMMYFUNCTION("COUNTA(SPLIT(TRIM(C31),"" ""))"),124.0)</f>
        <v>124</v>
      </c>
      <c r="E31" s="7">
        <f t="shared" si="1"/>
        <v>62</v>
      </c>
      <c r="F31" s="7" t="str">
        <f t="shared" si="2"/>
        <v>30.mp3</v>
      </c>
      <c r="G31" s="8" t="s">
        <v>8</v>
      </c>
    </row>
    <row r="32" ht="14.25" customHeight="1">
      <c r="A32" s="1">
        <v>31.0</v>
      </c>
      <c r="B32" s="1">
        <v>11.0</v>
      </c>
      <c r="C32" s="5" t="s">
        <v>38</v>
      </c>
      <c r="D32" s="6">
        <f>IFERROR(__xludf.DUMMYFUNCTION("COUNTA(SPLIT(TRIM(C32),"" ""))"),24.0)</f>
        <v>24</v>
      </c>
      <c r="E32" s="7">
        <f t="shared" si="1"/>
        <v>12</v>
      </c>
      <c r="F32" s="7" t="str">
        <f t="shared" si="2"/>
        <v>31.mp3</v>
      </c>
      <c r="G32" s="8" t="s">
        <v>8</v>
      </c>
    </row>
    <row r="33" ht="14.25" customHeight="1">
      <c r="A33" s="1">
        <v>32.0</v>
      </c>
      <c r="B33" s="1">
        <v>11.0</v>
      </c>
      <c r="C33" s="5" t="s">
        <v>39</v>
      </c>
      <c r="D33" s="6">
        <f>IFERROR(__xludf.DUMMYFUNCTION("COUNTA(SPLIT(TRIM(C33),"" ""))"),72.0)</f>
        <v>72</v>
      </c>
      <c r="E33" s="7">
        <f t="shared" si="1"/>
        <v>36</v>
      </c>
      <c r="F33" s="7" t="str">
        <f t="shared" si="2"/>
        <v>32.mp3</v>
      </c>
      <c r="G33" s="8" t="s">
        <v>8</v>
      </c>
    </row>
    <row r="34" ht="14.25" customHeight="1">
      <c r="A34" s="1">
        <v>33.0</v>
      </c>
      <c r="B34" s="1">
        <v>11.0</v>
      </c>
      <c r="C34" s="5" t="s">
        <v>40</v>
      </c>
      <c r="D34" s="6">
        <f>IFERROR(__xludf.DUMMYFUNCTION("COUNTA(SPLIT(TRIM(C34),"" ""))"),115.0)</f>
        <v>115</v>
      </c>
      <c r="E34" s="7">
        <f t="shared" si="1"/>
        <v>58</v>
      </c>
      <c r="F34" s="7" t="str">
        <f t="shared" si="2"/>
        <v>33.mp3</v>
      </c>
      <c r="G34" s="8" t="s">
        <v>8</v>
      </c>
    </row>
    <row r="35" ht="14.25" customHeight="1">
      <c r="A35" s="1">
        <v>34.0</v>
      </c>
      <c r="B35" s="1">
        <v>12.0</v>
      </c>
      <c r="C35" s="5" t="s">
        <v>41</v>
      </c>
      <c r="D35" s="6">
        <f>IFERROR(__xludf.DUMMYFUNCTION("COUNTA(SPLIT(TRIM(C35),"" ""))"),23.0)</f>
        <v>23</v>
      </c>
      <c r="E35" s="7">
        <f t="shared" si="1"/>
        <v>12</v>
      </c>
      <c r="F35" s="7" t="str">
        <f t="shared" si="2"/>
        <v>34.mp3</v>
      </c>
      <c r="G35" s="8" t="s">
        <v>8</v>
      </c>
    </row>
    <row r="36" ht="14.25" customHeight="1">
      <c r="A36" s="1">
        <v>35.0</v>
      </c>
      <c r="B36" s="1">
        <v>12.0</v>
      </c>
      <c r="C36" s="5" t="s">
        <v>42</v>
      </c>
      <c r="D36" s="6">
        <f>IFERROR(__xludf.DUMMYFUNCTION("COUNTA(SPLIT(TRIM(C36),"" ""))"),83.0)</f>
        <v>83</v>
      </c>
      <c r="E36" s="7">
        <f t="shared" si="1"/>
        <v>42</v>
      </c>
      <c r="F36" s="7" t="str">
        <f t="shared" si="2"/>
        <v>35.mp3</v>
      </c>
      <c r="G36" s="8" t="s">
        <v>8</v>
      </c>
    </row>
    <row r="37" ht="14.25" customHeight="1">
      <c r="A37" s="1">
        <v>36.0</v>
      </c>
      <c r="B37" s="1">
        <v>12.0</v>
      </c>
      <c r="C37" s="5" t="s">
        <v>43</v>
      </c>
      <c r="D37" s="6">
        <f>IFERROR(__xludf.DUMMYFUNCTION("COUNTA(SPLIT(TRIM(C37),"" ""))"),129.0)</f>
        <v>129</v>
      </c>
      <c r="E37" s="7">
        <f t="shared" si="1"/>
        <v>65</v>
      </c>
      <c r="F37" s="7" t="str">
        <f t="shared" si="2"/>
        <v>36.mp3</v>
      </c>
      <c r="G37" s="8" t="s">
        <v>8</v>
      </c>
    </row>
    <row r="38" ht="14.25" customHeight="1">
      <c r="A38" s="1">
        <v>37.0</v>
      </c>
      <c r="B38" s="1">
        <v>13.0</v>
      </c>
      <c r="C38" s="5" t="s">
        <v>44</v>
      </c>
      <c r="D38" s="6">
        <f>IFERROR(__xludf.DUMMYFUNCTION("COUNTA(SPLIT(TRIM(C38),"" ""))"),22.0)</f>
        <v>22</v>
      </c>
      <c r="E38" s="7">
        <f t="shared" si="1"/>
        <v>11</v>
      </c>
      <c r="F38" s="7" t="str">
        <f t="shared" si="2"/>
        <v>37.mp3</v>
      </c>
      <c r="G38" s="8" t="s">
        <v>8</v>
      </c>
    </row>
    <row r="39" ht="14.25" customHeight="1">
      <c r="A39" s="1">
        <v>38.0</v>
      </c>
      <c r="B39" s="1">
        <v>13.0</v>
      </c>
      <c r="C39" s="5" t="s">
        <v>45</v>
      </c>
      <c r="D39" s="6">
        <f>IFERROR(__xludf.DUMMYFUNCTION("COUNTA(SPLIT(TRIM(C39),"" ""))"),73.0)</f>
        <v>73</v>
      </c>
      <c r="E39" s="7">
        <f t="shared" si="1"/>
        <v>37</v>
      </c>
      <c r="F39" s="7" t="str">
        <f t="shared" si="2"/>
        <v>38.mp3</v>
      </c>
      <c r="G39" s="8" t="s">
        <v>8</v>
      </c>
    </row>
    <row r="40" ht="14.25" customHeight="1">
      <c r="A40" s="1">
        <v>39.0</v>
      </c>
      <c r="B40" s="1">
        <v>13.0</v>
      </c>
      <c r="C40" s="5" t="s">
        <v>46</v>
      </c>
      <c r="D40" s="6">
        <f>IFERROR(__xludf.DUMMYFUNCTION("COUNTA(SPLIT(TRIM(C40),"" ""))"),120.0)</f>
        <v>120</v>
      </c>
      <c r="E40" s="7">
        <f t="shared" si="1"/>
        <v>60</v>
      </c>
      <c r="F40" s="7" t="str">
        <f t="shared" si="2"/>
        <v>39.mp3</v>
      </c>
      <c r="G40" s="8" t="s">
        <v>8</v>
      </c>
    </row>
    <row r="41" ht="14.25" customHeight="1">
      <c r="A41" s="1">
        <v>40.0</v>
      </c>
      <c r="B41" s="1">
        <v>14.0</v>
      </c>
      <c r="C41" s="5" t="s">
        <v>47</v>
      </c>
      <c r="D41" s="6">
        <f>IFERROR(__xludf.DUMMYFUNCTION("COUNTA(SPLIT(TRIM(C41),"" ""))"),24.0)</f>
        <v>24</v>
      </c>
      <c r="E41" s="7">
        <f t="shared" si="1"/>
        <v>12</v>
      </c>
      <c r="F41" s="7" t="str">
        <f t="shared" si="2"/>
        <v>40.mp3</v>
      </c>
      <c r="G41" s="8" t="s">
        <v>8</v>
      </c>
    </row>
    <row r="42" ht="14.25" customHeight="1">
      <c r="A42" s="1">
        <v>41.0</v>
      </c>
      <c r="B42" s="1">
        <v>14.0</v>
      </c>
      <c r="C42" s="5" t="s">
        <v>48</v>
      </c>
      <c r="D42" s="6">
        <f>IFERROR(__xludf.DUMMYFUNCTION("COUNTA(SPLIT(TRIM(C42),"" ""))"),69.0)</f>
        <v>69</v>
      </c>
      <c r="E42" s="7">
        <f t="shared" si="1"/>
        <v>35</v>
      </c>
      <c r="F42" s="7" t="str">
        <f t="shared" si="2"/>
        <v>41.mp3</v>
      </c>
      <c r="G42" s="8" t="s">
        <v>8</v>
      </c>
    </row>
    <row r="43" ht="14.25" customHeight="1">
      <c r="A43" s="1">
        <v>42.0</v>
      </c>
      <c r="B43" s="1">
        <v>14.0</v>
      </c>
      <c r="C43" s="5" t="s">
        <v>49</v>
      </c>
      <c r="D43" s="6">
        <f>IFERROR(__xludf.DUMMYFUNCTION("COUNTA(SPLIT(TRIM(C43),"" ""))"),114.0)</f>
        <v>114</v>
      </c>
      <c r="E43" s="7">
        <f t="shared" si="1"/>
        <v>57</v>
      </c>
      <c r="F43" s="7" t="str">
        <f t="shared" si="2"/>
        <v>42.mp3</v>
      </c>
      <c r="G43" s="8" t="s">
        <v>8</v>
      </c>
    </row>
    <row r="44" ht="14.25" customHeight="1">
      <c r="A44" s="1">
        <v>43.0</v>
      </c>
      <c r="B44" s="1">
        <v>15.0</v>
      </c>
      <c r="C44" s="5" t="s">
        <v>50</v>
      </c>
      <c r="D44" s="6">
        <f>IFERROR(__xludf.DUMMYFUNCTION("COUNTA(SPLIT(TRIM(C44),"" ""))"),23.0)</f>
        <v>23</v>
      </c>
      <c r="E44" s="7">
        <f t="shared" si="1"/>
        <v>12</v>
      </c>
      <c r="F44" s="7" t="str">
        <f t="shared" si="2"/>
        <v>43.mp3</v>
      </c>
      <c r="G44" s="8" t="s">
        <v>8</v>
      </c>
    </row>
    <row r="45" ht="14.25" customHeight="1">
      <c r="A45" s="1">
        <v>44.0</v>
      </c>
      <c r="B45" s="1">
        <v>15.0</v>
      </c>
      <c r="C45" s="5" t="s">
        <v>51</v>
      </c>
      <c r="D45" s="6">
        <f>IFERROR(__xludf.DUMMYFUNCTION("COUNTA(SPLIT(TRIM(C45),"" ""))"),78.0)</f>
        <v>78</v>
      </c>
      <c r="E45" s="7">
        <f t="shared" si="1"/>
        <v>39</v>
      </c>
      <c r="F45" s="7" t="str">
        <f t="shared" si="2"/>
        <v>44.mp3</v>
      </c>
      <c r="G45" s="8" t="s">
        <v>8</v>
      </c>
    </row>
    <row r="46" ht="14.25" customHeight="1">
      <c r="A46" s="1">
        <v>45.0</v>
      </c>
      <c r="B46" s="1">
        <v>15.0</v>
      </c>
      <c r="C46" s="5" t="s">
        <v>52</v>
      </c>
      <c r="D46" s="6">
        <f>IFERROR(__xludf.DUMMYFUNCTION("COUNTA(SPLIT(TRIM(C46),"" ""))"),126.0)</f>
        <v>126</v>
      </c>
      <c r="E46" s="7">
        <f t="shared" si="1"/>
        <v>63</v>
      </c>
      <c r="F46" s="7" t="str">
        <f t="shared" si="2"/>
        <v>45.mp3</v>
      </c>
      <c r="G46" s="8" t="s">
        <v>8</v>
      </c>
    </row>
    <row r="47" ht="14.25" customHeight="1">
      <c r="A47" s="1">
        <v>46.0</v>
      </c>
      <c r="B47" s="1">
        <v>16.0</v>
      </c>
      <c r="C47" s="5" t="s">
        <v>53</v>
      </c>
      <c r="D47" s="6">
        <f>IFERROR(__xludf.DUMMYFUNCTION("COUNTA(SPLIT(TRIM(C47),"" ""))"),22.0)</f>
        <v>22</v>
      </c>
      <c r="E47" s="7">
        <f t="shared" si="1"/>
        <v>11</v>
      </c>
      <c r="F47" s="7" t="str">
        <f t="shared" si="2"/>
        <v>46.mp3</v>
      </c>
      <c r="G47" s="8" t="s">
        <v>8</v>
      </c>
    </row>
    <row r="48" ht="14.25" customHeight="1">
      <c r="A48" s="1">
        <v>47.0</v>
      </c>
      <c r="B48" s="1">
        <v>16.0</v>
      </c>
      <c r="C48" s="5" t="s">
        <v>54</v>
      </c>
      <c r="D48" s="6">
        <f>IFERROR(__xludf.DUMMYFUNCTION("COUNTA(SPLIT(TRIM(C48),"" ""))"),66.0)</f>
        <v>66</v>
      </c>
      <c r="E48" s="7">
        <f t="shared" si="1"/>
        <v>33</v>
      </c>
      <c r="F48" s="7" t="str">
        <f t="shared" si="2"/>
        <v>47.mp3</v>
      </c>
      <c r="G48" s="8" t="s">
        <v>8</v>
      </c>
    </row>
    <row r="49" ht="14.25" customHeight="1">
      <c r="A49" s="1">
        <v>48.0</v>
      </c>
      <c r="B49" s="1">
        <v>16.0</v>
      </c>
      <c r="C49" s="5" t="s">
        <v>55</v>
      </c>
      <c r="D49" s="6">
        <f>IFERROR(__xludf.DUMMYFUNCTION("COUNTA(SPLIT(TRIM(C49),"" ""))"),101.0)</f>
        <v>101</v>
      </c>
      <c r="E49" s="7">
        <f t="shared" si="1"/>
        <v>51</v>
      </c>
      <c r="F49" s="7" t="str">
        <f t="shared" si="2"/>
        <v>48.mp3</v>
      </c>
      <c r="G49" s="8" t="s">
        <v>8</v>
      </c>
    </row>
    <row r="50" ht="14.25" customHeight="1">
      <c r="A50" s="1">
        <v>49.0</v>
      </c>
      <c r="B50" s="1">
        <v>17.0</v>
      </c>
      <c r="C50" s="5" t="s">
        <v>56</v>
      </c>
      <c r="D50" s="6">
        <f>IFERROR(__xludf.DUMMYFUNCTION("COUNTA(SPLIT(TRIM(C50),"" ""))"),24.0)</f>
        <v>24</v>
      </c>
      <c r="E50" s="7">
        <f t="shared" si="1"/>
        <v>12</v>
      </c>
      <c r="F50" s="7" t="str">
        <f t="shared" si="2"/>
        <v>49.mp3</v>
      </c>
      <c r="G50" s="8" t="s">
        <v>8</v>
      </c>
    </row>
    <row r="51" ht="14.25" customHeight="1">
      <c r="A51" s="1">
        <v>50.0</v>
      </c>
      <c r="B51" s="1">
        <v>17.0</v>
      </c>
      <c r="C51" s="5" t="s">
        <v>57</v>
      </c>
      <c r="D51" s="6">
        <f>IFERROR(__xludf.DUMMYFUNCTION("COUNTA(SPLIT(TRIM(C51),"" ""))"),62.0)</f>
        <v>62</v>
      </c>
      <c r="E51" s="7">
        <f t="shared" si="1"/>
        <v>31</v>
      </c>
      <c r="F51" s="7" t="str">
        <f t="shared" si="2"/>
        <v>50.mp3</v>
      </c>
      <c r="G51" s="8" t="s">
        <v>8</v>
      </c>
    </row>
    <row r="52" ht="14.25" customHeight="1">
      <c r="A52" s="1">
        <v>51.0</v>
      </c>
      <c r="B52" s="1">
        <v>17.0</v>
      </c>
      <c r="C52" s="5" t="s">
        <v>58</v>
      </c>
      <c r="D52" s="6">
        <f>IFERROR(__xludf.DUMMYFUNCTION("COUNTA(SPLIT(TRIM(C52),"" ""))"),106.0)</f>
        <v>106</v>
      </c>
      <c r="E52" s="7">
        <f t="shared" si="1"/>
        <v>53</v>
      </c>
      <c r="F52" s="7" t="str">
        <f t="shared" si="2"/>
        <v>51.mp3</v>
      </c>
      <c r="G52" s="8" t="s">
        <v>8</v>
      </c>
    </row>
    <row r="53" ht="14.25" customHeight="1">
      <c r="A53" s="1">
        <v>52.0</v>
      </c>
      <c r="B53" s="1">
        <v>18.0</v>
      </c>
      <c r="C53" s="5" t="s">
        <v>59</v>
      </c>
      <c r="D53" s="6">
        <f>IFERROR(__xludf.DUMMYFUNCTION("COUNTA(SPLIT(TRIM(C53),"" ""))"),23.0)</f>
        <v>23</v>
      </c>
      <c r="E53" s="7">
        <f t="shared" si="1"/>
        <v>12</v>
      </c>
      <c r="F53" s="7" t="str">
        <f t="shared" si="2"/>
        <v>52.mp3</v>
      </c>
      <c r="G53" s="8" t="s">
        <v>8</v>
      </c>
    </row>
    <row r="54" ht="14.25" customHeight="1">
      <c r="A54" s="1">
        <v>53.0</v>
      </c>
      <c r="B54" s="1">
        <v>18.0</v>
      </c>
      <c r="C54" s="5" t="s">
        <v>60</v>
      </c>
      <c r="D54" s="6">
        <f>IFERROR(__xludf.DUMMYFUNCTION("COUNTA(SPLIT(TRIM(C54),"" ""))"),72.0)</f>
        <v>72</v>
      </c>
      <c r="E54" s="7">
        <f t="shared" si="1"/>
        <v>36</v>
      </c>
      <c r="F54" s="7" t="str">
        <f t="shared" si="2"/>
        <v>53.mp3</v>
      </c>
      <c r="G54" s="8" t="s">
        <v>8</v>
      </c>
    </row>
    <row r="55" ht="14.25" customHeight="1">
      <c r="A55" s="1">
        <v>54.0</v>
      </c>
      <c r="B55" s="1">
        <v>18.0</v>
      </c>
      <c r="C55" s="5" t="s">
        <v>61</v>
      </c>
      <c r="D55" s="6">
        <f>IFERROR(__xludf.DUMMYFUNCTION("COUNTA(SPLIT(TRIM(C55),"" ""))"),127.0)</f>
        <v>127</v>
      </c>
      <c r="E55" s="7">
        <f t="shared" si="1"/>
        <v>64</v>
      </c>
      <c r="F55" s="7" t="str">
        <f t="shared" si="2"/>
        <v>54.mp3</v>
      </c>
      <c r="G55" s="8" t="s">
        <v>8</v>
      </c>
    </row>
    <row r="56" ht="14.25" customHeight="1">
      <c r="A56" s="1">
        <v>55.0</v>
      </c>
      <c r="B56" s="1">
        <v>19.0</v>
      </c>
      <c r="C56" s="5" t="s">
        <v>62</v>
      </c>
      <c r="D56" s="6">
        <f>IFERROR(__xludf.DUMMYFUNCTION("COUNTA(SPLIT(TRIM(C56),"" ""))"),25.0)</f>
        <v>25</v>
      </c>
      <c r="E56" s="7">
        <f t="shared" si="1"/>
        <v>13</v>
      </c>
      <c r="F56" s="7" t="str">
        <f t="shared" si="2"/>
        <v>55.mp3</v>
      </c>
      <c r="G56" s="8" t="s">
        <v>8</v>
      </c>
    </row>
    <row r="57" ht="14.25" customHeight="1">
      <c r="A57" s="1">
        <v>56.0</v>
      </c>
      <c r="B57" s="1">
        <v>19.0</v>
      </c>
      <c r="C57" s="5" t="s">
        <v>63</v>
      </c>
      <c r="D57" s="6">
        <f>IFERROR(__xludf.DUMMYFUNCTION("COUNTA(SPLIT(TRIM(C57),"" ""))"),76.0)</f>
        <v>76</v>
      </c>
      <c r="E57" s="7">
        <f t="shared" si="1"/>
        <v>38</v>
      </c>
      <c r="F57" s="7" t="str">
        <f t="shared" si="2"/>
        <v>56.mp3</v>
      </c>
      <c r="G57" s="8" t="s">
        <v>8</v>
      </c>
    </row>
    <row r="58" ht="14.25" customHeight="1">
      <c r="A58" s="1">
        <v>57.0</v>
      </c>
      <c r="B58" s="1">
        <v>19.0</v>
      </c>
      <c r="C58" s="5" t="s">
        <v>64</v>
      </c>
      <c r="D58" s="6">
        <f>IFERROR(__xludf.DUMMYFUNCTION("COUNTA(SPLIT(TRIM(C58),"" ""))"),119.0)</f>
        <v>119</v>
      </c>
      <c r="E58" s="7">
        <f t="shared" si="1"/>
        <v>60</v>
      </c>
      <c r="F58" s="7" t="str">
        <f t="shared" si="2"/>
        <v>57.mp3</v>
      </c>
      <c r="G58" s="8" t="s">
        <v>8</v>
      </c>
    </row>
    <row r="59" ht="14.25" customHeight="1">
      <c r="A59" s="1">
        <v>58.0</v>
      </c>
      <c r="B59" s="1">
        <v>20.0</v>
      </c>
      <c r="C59" s="5" t="s">
        <v>65</v>
      </c>
      <c r="D59" s="6">
        <f>IFERROR(__xludf.DUMMYFUNCTION("COUNTA(SPLIT(TRIM(C59),"" ""))"),25.0)</f>
        <v>25</v>
      </c>
      <c r="E59" s="7">
        <f t="shared" si="1"/>
        <v>13</v>
      </c>
      <c r="F59" s="7" t="str">
        <f t="shared" si="2"/>
        <v>58.mp3</v>
      </c>
      <c r="G59" s="8" t="s">
        <v>8</v>
      </c>
    </row>
    <row r="60" ht="14.25" customHeight="1">
      <c r="A60" s="1">
        <v>59.0</v>
      </c>
      <c r="B60" s="1">
        <v>20.0</v>
      </c>
      <c r="C60" s="5" t="s">
        <v>66</v>
      </c>
      <c r="D60" s="6">
        <f>IFERROR(__xludf.DUMMYFUNCTION("COUNTA(SPLIT(TRIM(C60),"" ""))"),69.0)</f>
        <v>69</v>
      </c>
      <c r="E60" s="7">
        <f t="shared" si="1"/>
        <v>35</v>
      </c>
      <c r="F60" s="7" t="str">
        <f t="shared" si="2"/>
        <v>59.mp3</v>
      </c>
      <c r="G60" s="8" t="s">
        <v>8</v>
      </c>
    </row>
    <row r="61" ht="14.25" customHeight="1">
      <c r="A61" s="1">
        <v>60.0</v>
      </c>
      <c r="B61" s="1">
        <v>20.0</v>
      </c>
      <c r="C61" s="5" t="s">
        <v>67</v>
      </c>
      <c r="D61" s="6">
        <f>IFERROR(__xludf.DUMMYFUNCTION("COUNTA(SPLIT(TRIM(C61),"" ""))"),112.0)</f>
        <v>112</v>
      </c>
      <c r="E61" s="7">
        <f t="shared" si="1"/>
        <v>56</v>
      </c>
      <c r="F61" s="7" t="str">
        <f t="shared" si="2"/>
        <v>60.mp3</v>
      </c>
      <c r="G61" s="8" t="s">
        <v>8</v>
      </c>
    </row>
    <row r="62" ht="14.25" customHeight="1">
      <c r="A62" s="1">
        <v>61.0</v>
      </c>
      <c r="B62" s="1">
        <v>21.0</v>
      </c>
      <c r="C62" s="5" t="s">
        <v>68</v>
      </c>
      <c r="D62" s="6">
        <f>IFERROR(__xludf.DUMMYFUNCTION("COUNTA(SPLIT(TRIM(C62),"" ""))"),28.0)</f>
        <v>28</v>
      </c>
      <c r="E62" s="7">
        <f t="shared" si="1"/>
        <v>14</v>
      </c>
      <c r="F62" s="7" t="str">
        <f t="shared" si="2"/>
        <v>61.mp3</v>
      </c>
      <c r="G62" s="8" t="s">
        <v>8</v>
      </c>
    </row>
    <row r="63" ht="14.25" customHeight="1">
      <c r="A63" s="1">
        <v>62.0</v>
      </c>
      <c r="B63" s="1">
        <v>21.0</v>
      </c>
      <c r="C63" s="5" t="s">
        <v>69</v>
      </c>
      <c r="D63" s="6">
        <f>IFERROR(__xludf.DUMMYFUNCTION("COUNTA(SPLIT(TRIM(C63),"" ""))"),81.0)</f>
        <v>81</v>
      </c>
      <c r="E63" s="7">
        <f t="shared" si="1"/>
        <v>41</v>
      </c>
      <c r="F63" s="7" t="str">
        <f t="shared" si="2"/>
        <v>62.mp3</v>
      </c>
      <c r="G63" s="8" t="s">
        <v>8</v>
      </c>
    </row>
    <row r="64" ht="14.25" customHeight="1">
      <c r="A64" s="1">
        <v>63.0</v>
      </c>
      <c r="B64" s="1">
        <v>21.0</v>
      </c>
      <c r="C64" s="5" t="s">
        <v>70</v>
      </c>
      <c r="D64" s="6">
        <f>IFERROR(__xludf.DUMMYFUNCTION("COUNTA(SPLIT(TRIM(C64),"" ""))"),123.0)</f>
        <v>123</v>
      </c>
      <c r="E64" s="7">
        <f t="shared" si="1"/>
        <v>62</v>
      </c>
      <c r="F64" s="7" t="str">
        <f t="shared" si="2"/>
        <v>63.mp3</v>
      </c>
      <c r="G64" s="8" t="s">
        <v>8</v>
      </c>
    </row>
    <row r="65" ht="14.25" customHeight="1">
      <c r="A65" s="1">
        <v>64.0</v>
      </c>
      <c r="B65" s="1">
        <v>22.0</v>
      </c>
      <c r="C65" s="5" t="s">
        <v>71</v>
      </c>
      <c r="D65" s="6">
        <f>IFERROR(__xludf.DUMMYFUNCTION("COUNTA(SPLIT(TRIM(C65),"" ""))"),26.0)</f>
        <v>26</v>
      </c>
      <c r="E65" s="7">
        <f t="shared" si="1"/>
        <v>13</v>
      </c>
      <c r="F65" s="7" t="str">
        <f t="shared" si="2"/>
        <v>64.mp3</v>
      </c>
      <c r="G65" s="8" t="s">
        <v>8</v>
      </c>
    </row>
    <row r="66" ht="14.25" customHeight="1">
      <c r="A66" s="1">
        <v>65.0</v>
      </c>
      <c r="B66" s="1">
        <v>22.0</v>
      </c>
      <c r="C66" s="5" t="s">
        <v>72</v>
      </c>
      <c r="D66" s="6">
        <f>IFERROR(__xludf.DUMMYFUNCTION("COUNTA(SPLIT(TRIM(C66),"" ""))"),70.0)</f>
        <v>70</v>
      </c>
      <c r="E66" s="7">
        <f t="shared" si="1"/>
        <v>35</v>
      </c>
      <c r="F66" s="7" t="str">
        <f t="shared" si="2"/>
        <v>65.mp3</v>
      </c>
      <c r="G66" s="8" t="s">
        <v>8</v>
      </c>
    </row>
    <row r="67" ht="14.25" customHeight="1">
      <c r="A67" s="1">
        <v>66.0</v>
      </c>
      <c r="B67" s="1">
        <v>22.0</v>
      </c>
      <c r="C67" s="5" t="s">
        <v>73</v>
      </c>
      <c r="D67" s="6">
        <f>IFERROR(__xludf.DUMMYFUNCTION("COUNTA(SPLIT(TRIM(C67),"" ""))"),107.0)</f>
        <v>107</v>
      </c>
      <c r="E67" s="7">
        <f t="shared" si="1"/>
        <v>54</v>
      </c>
      <c r="F67" s="7" t="str">
        <f t="shared" si="2"/>
        <v>66.mp3</v>
      </c>
      <c r="G67" s="8" t="s">
        <v>8</v>
      </c>
    </row>
    <row r="68" ht="14.25" customHeight="1">
      <c r="A68" s="1">
        <v>67.0</v>
      </c>
      <c r="B68" s="1">
        <v>23.0</v>
      </c>
      <c r="C68" s="5" t="s">
        <v>71</v>
      </c>
      <c r="D68" s="6">
        <f>IFERROR(__xludf.DUMMYFUNCTION("COUNTA(SPLIT(TRIM(C68),"" ""))"),26.0)</f>
        <v>26</v>
      </c>
      <c r="E68" s="7">
        <f t="shared" si="1"/>
        <v>13</v>
      </c>
      <c r="F68" s="7" t="str">
        <f t="shared" si="2"/>
        <v>67.mp3</v>
      </c>
      <c r="G68" s="8" t="s">
        <v>8</v>
      </c>
    </row>
    <row r="69" ht="14.25" customHeight="1">
      <c r="A69" s="1">
        <v>68.0</v>
      </c>
      <c r="B69" s="1">
        <v>23.0</v>
      </c>
      <c r="C69" s="5" t="s">
        <v>72</v>
      </c>
      <c r="D69" s="6">
        <f>IFERROR(__xludf.DUMMYFUNCTION("COUNTA(SPLIT(TRIM(C69),"" ""))"),70.0)</f>
        <v>70</v>
      </c>
      <c r="E69" s="7">
        <f t="shared" si="1"/>
        <v>35</v>
      </c>
      <c r="F69" s="7" t="str">
        <f t="shared" si="2"/>
        <v>68.mp3</v>
      </c>
      <c r="G69" s="8" t="s">
        <v>8</v>
      </c>
    </row>
    <row r="70" ht="14.25" customHeight="1">
      <c r="A70" s="1">
        <v>69.0</v>
      </c>
      <c r="B70" s="1">
        <v>23.0</v>
      </c>
      <c r="C70" s="5" t="s">
        <v>73</v>
      </c>
      <c r="D70" s="6">
        <f>IFERROR(__xludf.DUMMYFUNCTION("COUNTA(SPLIT(TRIM(C70),"" ""))"),107.0)</f>
        <v>107</v>
      </c>
      <c r="E70" s="7">
        <f t="shared" si="1"/>
        <v>54</v>
      </c>
      <c r="F70" s="7" t="str">
        <f t="shared" si="2"/>
        <v>69.mp3</v>
      </c>
      <c r="G70" s="8" t="s">
        <v>8</v>
      </c>
    </row>
    <row r="71" ht="14.25" customHeight="1">
      <c r="A71" s="1">
        <v>70.0</v>
      </c>
      <c r="B71" s="1">
        <v>24.0</v>
      </c>
      <c r="C71" s="5" t="s">
        <v>74</v>
      </c>
      <c r="D71" s="6">
        <f>IFERROR(__xludf.DUMMYFUNCTION("COUNTA(SPLIT(TRIM(C71),"" ""))"),26.0)</f>
        <v>26</v>
      </c>
      <c r="E71" s="7">
        <f t="shared" si="1"/>
        <v>13</v>
      </c>
      <c r="F71" s="7" t="str">
        <f t="shared" si="2"/>
        <v>70.mp3</v>
      </c>
      <c r="G71" s="8" t="s">
        <v>8</v>
      </c>
    </row>
    <row r="72" ht="14.25" customHeight="1">
      <c r="A72" s="1">
        <v>71.0</v>
      </c>
      <c r="B72" s="1">
        <v>24.0</v>
      </c>
      <c r="C72" s="5" t="s">
        <v>75</v>
      </c>
      <c r="D72" s="6">
        <f>IFERROR(__xludf.DUMMYFUNCTION("COUNTA(SPLIT(TRIM(C72),"" ""))"),83.0)</f>
        <v>83</v>
      </c>
      <c r="E72" s="7">
        <f t="shared" si="1"/>
        <v>42</v>
      </c>
      <c r="F72" s="7" t="str">
        <f t="shared" si="2"/>
        <v>71.mp3</v>
      </c>
      <c r="G72" s="8" t="s">
        <v>8</v>
      </c>
    </row>
    <row r="73" ht="14.25" customHeight="1">
      <c r="A73" s="1">
        <v>72.0</v>
      </c>
      <c r="B73" s="1">
        <v>24.0</v>
      </c>
      <c r="C73" s="5" t="s">
        <v>76</v>
      </c>
      <c r="D73" s="6">
        <f>IFERROR(__xludf.DUMMYFUNCTION("COUNTA(SPLIT(TRIM(C73),"" ""))"),131.0)</f>
        <v>131</v>
      </c>
      <c r="E73" s="7">
        <f t="shared" si="1"/>
        <v>66</v>
      </c>
      <c r="F73" s="7" t="str">
        <f t="shared" si="2"/>
        <v>72.mp3</v>
      </c>
      <c r="G73" s="8" t="s">
        <v>8</v>
      </c>
    </row>
    <row r="74" ht="14.25" customHeight="1">
      <c r="A74" s="1">
        <v>73.0</v>
      </c>
      <c r="B74" s="1">
        <v>25.0</v>
      </c>
      <c r="C74" s="5" t="s">
        <v>77</v>
      </c>
      <c r="D74" s="6">
        <f>IFERROR(__xludf.DUMMYFUNCTION("COUNTA(SPLIT(TRIM(C74),"" ""))"),24.0)</f>
        <v>24</v>
      </c>
      <c r="E74" s="7">
        <f t="shared" si="1"/>
        <v>12</v>
      </c>
      <c r="F74" s="7" t="str">
        <f t="shared" si="2"/>
        <v>73.mp3</v>
      </c>
      <c r="G74" s="8" t="s">
        <v>8</v>
      </c>
    </row>
    <row r="75" ht="14.25" customHeight="1">
      <c r="A75" s="1">
        <v>74.0</v>
      </c>
      <c r="B75" s="1">
        <v>25.0</v>
      </c>
      <c r="C75" s="5" t="s">
        <v>78</v>
      </c>
      <c r="D75" s="6">
        <f>IFERROR(__xludf.DUMMYFUNCTION("COUNTA(SPLIT(TRIM(C75),"" ""))"),72.0)</f>
        <v>72</v>
      </c>
      <c r="E75" s="7">
        <f t="shared" si="1"/>
        <v>36</v>
      </c>
      <c r="F75" s="7" t="str">
        <f t="shared" si="2"/>
        <v>74.mp3</v>
      </c>
      <c r="G75" s="8" t="s">
        <v>8</v>
      </c>
    </row>
    <row r="76" ht="14.25" customHeight="1">
      <c r="A76" s="1">
        <v>75.0</v>
      </c>
      <c r="B76" s="1">
        <v>25.0</v>
      </c>
      <c r="C76" s="5" t="s">
        <v>79</v>
      </c>
      <c r="D76" s="6">
        <f>IFERROR(__xludf.DUMMYFUNCTION("COUNTA(SPLIT(TRIM(C76),"" ""))"),119.0)</f>
        <v>119</v>
      </c>
      <c r="E76" s="7">
        <f t="shared" si="1"/>
        <v>60</v>
      </c>
      <c r="F76" s="7" t="str">
        <f t="shared" si="2"/>
        <v>75.mp3</v>
      </c>
      <c r="G76" s="8" t="s">
        <v>8</v>
      </c>
    </row>
    <row r="77" ht="14.25" customHeight="1">
      <c r="A77" s="1">
        <v>76.0</v>
      </c>
      <c r="B77" s="1">
        <v>26.0</v>
      </c>
      <c r="C77" s="5" t="s">
        <v>80</v>
      </c>
      <c r="D77" s="6">
        <f>IFERROR(__xludf.DUMMYFUNCTION("COUNTA(SPLIT(TRIM(C77),"" ""))"),28.0)</f>
        <v>28</v>
      </c>
      <c r="E77" s="7">
        <f t="shared" si="1"/>
        <v>14</v>
      </c>
      <c r="F77" s="7" t="str">
        <f t="shared" si="2"/>
        <v>76.mp3</v>
      </c>
      <c r="G77" s="8" t="s">
        <v>8</v>
      </c>
    </row>
    <row r="78" ht="14.25" customHeight="1">
      <c r="A78" s="1">
        <v>77.0</v>
      </c>
      <c r="B78" s="1">
        <v>26.0</v>
      </c>
      <c r="C78" s="5" t="s">
        <v>81</v>
      </c>
      <c r="D78" s="6">
        <f>IFERROR(__xludf.DUMMYFUNCTION("COUNTA(SPLIT(TRIM(C78),"" ""))"),77.0)</f>
        <v>77</v>
      </c>
      <c r="E78" s="7">
        <f t="shared" si="1"/>
        <v>39</v>
      </c>
      <c r="F78" s="7" t="str">
        <f t="shared" si="2"/>
        <v>77.mp3</v>
      </c>
      <c r="G78" s="8" t="s">
        <v>8</v>
      </c>
    </row>
    <row r="79" ht="14.25" customHeight="1">
      <c r="A79" s="1">
        <v>78.0</v>
      </c>
      <c r="B79" s="1">
        <v>26.0</v>
      </c>
      <c r="C79" s="5" t="s">
        <v>82</v>
      </c>
      <c r="D79" s="6">
        <f>IFERROR(__xludf.DUMMYFUNCTION("COUNTA(SPLIT(TRIM(C79),"" ""))"),111.0)</f>
        <v>111</v>
      </c>
      <c r="E79" s="7">
        <f t="shared" si="1"/>
        <v>56</v>
      </c>
      <c r="F79" s="7" t="str">
        <f t="shared" si="2"/>
        <v>78.mp3</v>
      </c>
      <c r="G79" s="8" t="s">
        <v>8</v>
      </c>
    </row>
    <row r="80" ht="14.25" customHeight="1">
      <c r="A80" s="1">
        <v>79.0</v>
      </c>
      <c r="B80" s="1">
        <v>27.0</v>
      </c>
      <c r="C80" s="5" t="s">
        <v>83</v>
      </c>
      <c r="D80" s="6">
        <f>IFERROR(__xludf.DUMMYFUNCTION("COUNTA(SPLIT(TRIM(C80),"" ""))"),26.0)</f>
        <v>26</v>
      </c>
      <c r="E80" s="7">
        <f t="shared" si="1"/>
        <v>13</v>
      </c>
      <c r="F80" s="7" t="str">
        <f t="shared" si="2"/>
        <v>79.mp3</v>
      </c>
      <c r="G80" s="8" t="s">
        <v>8</v>
      </c>
    </row>
    <row r="81" ht="14.25" customHeight="1">
      <c r="A81" s="1">
        <v>80.0</v>
      </c>
      <c r="B81" s="1">
        <v>27.0</v>
      </c>
      <c r="C81" s="5" t="s">
        <v>84</v>
      </c>
      <c r="D81" s="6">
        <f>IFERROR(__xludf.DUMMYFUNCTION("COUNTA(SPLIT(TRIM(C81),"" ""))"),81.0)</f>
        <v>81</v>
      </c>
      <c r="E81" s="7">
        <f t="shared" si="1"/>
        <v>41</v>
      </c>
      <c r="F81" s="7" t="str">
        <f t="shared" si="2"/>
        <v>80.mp3</v>
      </c>
      <c r="G81" s="8" t="s">
        <v>8</v>
      </c>
    </row>
    <row r="82" ht="14.25" customHeight="1">
      <c r="A82" s="1">
        <v>81.0</v>
      </c>
      <c r="B82" s="1">
        <v>27.0</v>
      </c>
      <c r="C82" s="5" t="s">
        <v>85</v>
      </c>
      <c r="D82" s="6">
        <f>IFERROR(__xludf.DUMMYFUNCTION("COUNTA(SPLIT(TRIM(C82),"" ""))"),122.0)</f>
        <v>122</v>
      </c>
      <c r="E82" s="7">
        <f t="shared" si="1"/>
        <v>61</v>
      </c>
      <c r="F82" s="7" t="str">
        <f t="shared" si="2"/>
        <v>81.mp3</v>
      </c>
      <c r="G82" s="8" t="s">
        <v>8</v>
      </c>
    </row>
    <row r="83" ht="14.25" customHeight="1">
      <c r="A83" s="1">
        <v>82.0</v>
      </c>
      <c r="B83" s="1">
        <v>28.0</v>
      </c>
      <c r="C83" s="5" t="s">
        <v>86</v>
      </c>
      <c r="D83" s="6">
        <f>IFERROR(__xludf.DUMMYFUNCTION("COUNTA(SPLIT(TRIM(C83),"" ""))"),26.0)</f>
        <v>26</v>
      </c>
      <c r="E83" s="7">
        <f t="shared" si="1"/>
        <v>13</v>
      </c>
      <c r="F83" s="7" t="str">
        <f t="shared" si="2"/>
        <v>82.mp3</v>
      </c>
      <c r="G83" s="8" t="s">
        <v>8</v>
      </c>
    </row>
    <row r="84" ht="14.25" customHeight="1">
      <c r="A84" s="1">
        <v>83.0</v>
      </c>
      <c r="B84" s="1">
        <v>28.0</v>
      </c>
      <c r="C84" s="5" t="s">
        <v>87</v>
      </c>
      <c r="D84" s="6">
        <f>IFERROR(__xludf.DUMMYFUNCTION("COUNTA(SPLIT(TRIM(C84),"" ""))"),78.0)</f>
        <v>78</v>
      </c>
      <c r="E84" s="7">
        <f t="shared" si="1"/>
        <v>39</v>
      </c>
      <c r="F84" s="7" t="str">
        <f t="shared" si="2"/>
        <v>83.mp3</v>
      </c>
      <c r="G84" s="8" t="s">
        <v>8</v>
      </c>
    </row>
    <row r="85" ht="14.25" customHeight="1">
      <c r="A85" s="1">
        <v>84.0</v>
      </c>
      <c r="B85" s="1">
        <v>28.0</v>
      </c>
      <c r="C85" s="5" t="s">
        <v>88</v>
      </c>
      <c r="D85" s="6">
        <f>IFERROR(__xludf.DUMMYFUNCTION("COUNTA(SPLIT(TRIM(C85),"" ""))"),123.0)</f>
        <v>123</v>
      </c>
      <c r="E85" s="7">
        <f t="shared" si="1"/>
        <v>62</v>
      </c>
      <c r="F85" s="7" t="str">
        <f t="shared" si="2"/>
        <v>84.mp3</v>
      </c>
      <c r="G85" s="8" t="s">
        <v>8</v>
      </c>
    </row>
    <row r="86" ht="14.25" customHeight="1">
      <c r="A86" s="1">
        <v>85.0</v>
      </c>
      <c r="B86" s="1">
        <v>29.0</v>
      </c>
      <c r="C86" s="5" t="s">
        <v>89</v>
      </c>
      <c r="D86" s="6">
        <f>IFERROR(__xludf.DUMMYFUNCTION("COUNTA(SPLIT(TRIM(C86),"" ""))"),24.0)</f>
        <v>24</v>
      </c>
      <c r="E86" s="7">
        <f t="shared" si="1"/>
        <v>12</v>
      </c>
      <c r="F86" s="7" t="str">
        <f t="shared" si="2"/>
        <v>85.mp3</v>
      </c>
      <c r="G86" s="8" t="s">
        <v>8</v>
      </c>
    </row>
    <row r="87" ht="14.25" customHeight="1">
      <c r="A87" s="1">
        <v>86.0</v>
      </c>
      <c r="B87" s="1">
        <v>29.0</v>
      </c>
      <c r="C87" s="5" t="s">
        <v>90</v>
      </c>
      <c r="D87" s="6">
        <f>IFERROR(__xludf.DUMMYFUNCTION("COUNTA(SPLIT(TRIM(C87),"" ""))"),76.0)</f>
        <v>76</v>
      </c>
      <c r="E87" s="7">
        <f t="shared" si="1"/>
        <v>38</v>
      </c>
      <c r="F87" s="7" t="str">
        <f t="shared" si="2"/>
        <v>86.mp3</v>
      </c>
      <c r="G87" s="8" t="s">
        <v>8</v>
      </c>
    </row>
    <row r="88" ht="14.25" customHeight="1">
      <c r="A88" s="1">
        <v>87.0</v>
      </c>
      <c r="B88" s="1">
        <v>29.0</v>
      </c>
      <c r="C88" s="5" t="s">
        <v>91</v>
      </c>
      <c r="D88" s="6">
        <f>IFERROR(__xludf.DUMMYFUNCTION("COUNTA(SPLIT(TRIM(C88),"" ""))"),124.0)</f>
        <v>124</v>
      </c>
      <c r="E88" s="7">
        <f t="shared" si="1"/>
        <v>62</v>
      </c>
      <c r="F88" s="7" t="str">
        <f t="shared" si="2"/>
        <v>87.mp3</v>
      </c>
      <c r="G88" s="8" t="s">
        <v>8</v>
      </c>
    </row>
    <row r="89" ht="14.25" customHeight="1">
      <c r="A89" s="1">
        <v>88.0</v>
      </c>
      <c r="B89" s="1">
        <v>30.0</v>
      </c>
      <c r="C89" s="5" t="s">
        <v>92</v>
      </c>
      <c r="D89" s="6">
        <f>IFERROR(__xludf.DUMMYFUNCTION("COUNTA(SPLIT(TRIM(C89),"" ""))"),27.0)</f>
        <v>27</v>
      </c>
      <c r="E89" s="7">
        <f t="shared" si="1"/>
        <v>14</v>
      </c>
      <c r="F89" s="7" t="str">
        <f t="shared" si="2"/>
        <v>88.mp3</v>
      </c>
      <c r="G89" s="8" t="s">
        <v>8</v>
      </c>
    </row>
    <row r="90" ht="14.25" customHeight="1">
      <c r="A90" s="1">
        <v>89.0</v>
      </c>
      <c r="B90" s="1">
        <v>30.0</v>
      </c>
      <c r="C90" s="5" t="s">
        <v>93</v>
      </c>
      <c r="D90" s="6">
        <f>IFERROR(__xludf.DUMMYFUNCTION("COUNTA(SPLIT(TRIM(C90),"" ""))"),81.0)</f>
        <v>81</v>
      </c>
      <c r="E90" s="7">
        <f t="shared" si="1"/>
        <v>41</v>
      </c>
      <c r="F90" s="7" t="str">
        <f t="shared" si="2"/>
        <v>89.mp3</v>
      </c>
      <c r="G90" s="8" t="s">
        <v>8</v>
      </c>
    </row>
    <row r="91" ht="14.25" customHeight="1">
      <c r="A91" s="1">
        <v>90.0</v>
      </c>
      <c r="B91" s="1">
        <v>30.0</v>
      </c>
      <c r="C91" s="5" t="s">
        <v>94</v>
      </c>
      <c r="D91" s="6">
        <f>IFERROR(__xludf.DUMMYFUNCTION("COUNTA(SPLIT(TRIM(C91),"" ""))"),119.0)</f>
        <v>119</v>
      </c>
      <c r="E91" s="7">
        <f t="shared" si="1"/>
        <v>60</v>
      </c>
      <c r="F91" s="7" t="str">
        <f t="shared" si="2"/>
        <v>90.mp3</v>
      </c>
      <c r="G91" s="8" t="s">
        <v>8</v>
      </c>
    </row>
    <row r="92" ht="14.25" customHeight="1">
      <c r="A92" s="1">
        <v>91.0</v>
      </c>
      <c r="B92" s="1">
        <v>31.0</v>
      </c>
      <c r="C92" s="5" t="s">
        <v>95</v>
      </c>
      <c r="D92" s="6">
        <f>IFERROR(__xludf.DUMMYFUNCTION("COUNTA(SPLIT(TRIM(C92),"" ""))"),25.0)</f>
        <v>25</v>
      </c>
      <c r="E92" s="7">
        <f t="shared" si="1"/>
        <v>13</v>
      </c>
      <c r="F92" s="7" t="str">
        <f t="shared" si="2"/>
        <v>91.mp3</v>
      </c>
      <c r="G92" s="8" t="s">
        <v>8</v>
      </c>
    </row>
    <row r="93" ht="14.25" customHeight="1">
      <c r="A93" s="1">
        <v>92.0</v>
      </c>
      <c r="B93" s="1">
        <v>31.0</v>
      </c>
      <c r="C93" s="5" t="s">
        <v>96</v>
      </c>
      <c r="D93" s="6">
        <f>IFERROR(__xludf.DUMMYFUNCTION("COUNTA(SPLIT(TRIM(C93),"" ""))"),76.0)</f>
        <v>76</v>
      </c>
      <c r="E93" s="7">
        <f t="shared" si="1"/>
        <v>38</v>
      </c>
      <c r="F93" s="7" t="str">
        <f t="shared" si="2"/>
        <v>92.mp3</v>
      </c>
      <c r="G93" s="8" t="s">
        <v>8</v>
      </c>
    </row>
    <row r="94" ht="14.25" customHeight="1">
      <c r="A94" s="1">
        <v>93.0</v>
      </c>
      <c r="B94" s="1">
        <v>31.0</v>
      </c>
      <c r="C94" s="5" t="s">
        <v>97</v>
      </c>
      <c r="D94" s="6">
        <f>IFERROR(__xludf.DUMMYFUNCTION("COUNTA(SPLIT(TRIM(C94),"" ""))"),118.0)</f>
        <v>118</v>
      </c>
      <c r="E94" s="7">
        <f t="shared" si="1"/>
        <v>59</v>
      </c>
      <c r="F94" s="7" t="str">
        <f t="shared" si="2"/>
        <v>93.mp3</v>
      </c>
      <c r="G94" s="8" t="s">
        <v>8</v>
      </c>
    </row>
    <row r="95" ht="14.25" customHeight="1">
      <c r="A95" s="1">
        <v>94.0</v>
      </c>
      <c r="B95" s="1">
        <v>32.0</v>
      </c>
      <c r="C95" s="5" t="s">
        <v>98</v>
      </c>
      <c r="D95" s="6">
        <f>IFERROR(__xludf.DUMMYFUNCTION("COUNTA(SPLIT(TRIM(C95),"" ""))"),26.0)</f>
        <v>26</v>
      </c>
      <c r="E95" s="7">
        <f t="shared" si="1"/>
        <v>13</v>
      </c>
      <c r="F95" s="7" t="str">
        <f t="shared" si="2"/>
        <v>94.mp3</v>
      </c>
      <c r="G95" s="8" t="s">
        <v>8</v>
      </c>
    </row>
    <row r="96" ht="14.25" customHeight="1">
      <c r="A96" s="1">
        <v>95.0</v>
      </c>
      <c r="B96" s="1">
        <v>32.0</v>
      </c>
      <c r="C96" s="5" t="s">
        <v>99</v>
      </c>
      <c r="D96" s="6">
        <f>IFERROR(__xludf.DUMMYFUNCTION("COUNTA(SPLIT(TRIM(C96),"" ""))"),71.0)</f>
        <v>71</v>
      </c>
      <c r="E96" s="7">
        <f t="shared" si="1"/>
        <v>36</v>
      </c>
      <c r="F96" s="7" t="str">
        <f t="shared" si="2"/>
        <v>95.mp3</v>
      </c>
      <c r="G96" s="8" t="s">
        <v>8</v>
      </c>
    </row>
    <row r="97" ht="14.25" customHeight="1">
      <c r="A97" s="1">
        <v>96.0</v>
      </c>
      <c r="B97" s="1">
        <v>32.0</v>
      </c>
      <c r="C97" s="5" t="s">
        <v>100</v>
      </c>
      <c r="D97" s="6">
        <f>IFERROR(__xludf.DUMMYFUNCTION("COUNTA(SPLIT(TRIM(C97),"" ""))"),129.0)</f>
        <v>129</v>
      </c>
      <c r="E97" s="7">
        <f t="shared" si="1"/>
        <v>65</v>
      </c>
      <c r="F97" s="7" t="str">
        <f t="shared" si="2"/>
        <v>96.mp3</v>
      </c>
      <c r="G97" s="8" t="s">
        <v>8</v>
      </c>
    </row>
    <row r="98" ht="14.25" customHeight="1">
      <c r="A98" s="1">
        <v>97.0</v>
      </c>
      <c r="B98" s="1">
        <v>33.0</v>
      </c>
      <c r="C98" s="5" t="s">
        <v>101</v>
      </c>
      <c r="D98" s="6">
        <f>IFERROR(__xludf.DUMMYFUNCTION("COUNTA(SPLIT(TRIM(C98),"" ""))"),24.0)</f>
        <v>24</v>
      </c>
      <c r="E98" s="7">
        <f t="shared" si="1"/>
        <v>12</v>
      </c>
      <c r="F98" s="7" t="str">
        <f t="shared" si="2"/>
        <v>97.mp3</v>
      </c>
      <c r="G98" s="8" t="s">
        <v>8</v>
      </c>
    </row>
    <row r="99" ht="14.25" customHeight="1">
      <c r="A99" s="1">
        <v>98.0</v>
      </c>
      <c r="B99" s="1">
        <v>33.0</v>
      </c>
      <c r="C99" s="5" t="s">
        <v>102</v>
      </c>
      <c r="D99" s="6">
        <f>IFERROR(__xludf.DUMMYFUNCTION("COUNTA(SPLIT(TRIM(C99),"" ""))"),70.0)</f>
        <v>70</v>
      </c>
      <c r="E99" s="7">
        <f t="shared" si="1"/>
        <v>35</v>
      </c>
      <c r="F99" s="7" t="str">
        <f t="shared" si="2"/>
        <v>98.mp3</v>
      </c>
      <c r="G99" s="8" t="s">
        <v>8</v>
      </c>
    </row>
    <row r="100" ht="14.25" customHeight="1">
      <c r="A100" s="1">
        <v>99.0</v>
      </c>
      <c r="B100" s="1">
        <v>33.0</v>
      </c>
      <c r="C100" s="5" t="s">
        <v>103</v>
      </c>
      <c r="D100" s="6">
        <f>IFERROR(__xludf.DUMMYFUNCTION("COUNTA(SPLIT(TRIM(C100),"" ""))"),119.0)</f>
        <v>119</v>
      </c>
      <c r="E100" s="7">
        <f t="shared" si="1"/>
        <v>60</v>
      </c>
      <c r="F100" s="7" t="str">
        <f t="shared" si="2"/>
        <v>99.mp3</v>
      </c>
      <c r="G100" s="8" t="s">
        <v>8</v>
      </c>
    </row>
    <row r="101" ht="14.25" customHeight="1">
      <c r="A101" s="1">
        <v>100.0</v>
      </c>
      <c r="B101" s="1">
        <v>34.0</v>
      </c>
      <c r="C101" s="5" t="s">
        <v>104</v>
      </c>
      <c r="D101" s="6">
        <f>IFERROR(__xludf.DUMMYFUNCTION("COUNTA(SPLIT(TRIM(C101),"" ""))"),24.0)</f>
        <v>24</v>
      </c>
      <c r="E101" s="7">
        <f t="shared" si="1"/>
        <v>12</v>
      </c>
      <c r="F101" s="7" t="str">
        <f t="shared" si="2"/>
        <v>100.mp3</v>
      </c>
      <c r="G101" s="8" t="s">
        <v>8</v>
      </c>
    </row>
    <row r="102" ht="14.25" customHeight="1">
      <c r="A102" s="1">
        <v>101.0</v>
      </c>
      <c r="B102" s="1">
        <v>34.0</v>
      </c>
      <c r="C102" s="5" t="s">
        <v>105</v>
      </c>
      <c r="D102" s="6">
        <f>IFERROR(__xludf.DUMMYFUNCTION("COUNTA(SPLIT(TRIM(C102),"" ""))"),79.0)</f>
        <v>79</v>
      </c>
      <c r="E102" s="7">
        <f t="shared" si="1"/>
        <v>40</v>
      </c>
      <c r="F102" s="7" t="str">
        <f t="shared" si="2"/>
        <v>101.mp3</v>
      </c>
      <c r="G102" s="8" t="s">
        <v>8</v>
      </c>
    </row>
    <row r="103" ht="14.25" customHeight="1">
      <c r="A103" s="1">
        <v>102.0</v>
      </c>
      <c r="B103" s="1">
        <v>34.0</v>
      </c>
      <c r="C103" s="5" t="s">
        <v>106</v>
      </c>
      <c r="D103" s="6">
        <f>IFERROR(__xludf.DUMMYFUNCTION("COUNTA(SPLIT(TRIM(C103),"" ""))"),132.0)</f>
        <v>132</v>
      </c>
      <c r="E103" s="7">
        <f t="shared" si="1"/>
        <v>66</v>
      </c>
      <c r="F103" s="7" t="str">
        <f t="shared" si="2"/>
        <v>102.mp3</v>
      </c>
      <c r="G103" s="8" t="s">
        <v>8</v>
      </c>
    </row>
    <row r="104" ht="14.25" customHeight="1">
      <c r="A104" s="1">
        <v>103.0</v>
      </c>
      <c r="B104" s="1">
        <v>35.0</v>
      </c>
      <c r="C104" s="5" t="s">
        <v>107</v>
      </c>
      <c r="D104" s="6">
        <f>IFERROR(__xludf.DUMMYFUNCTION("COUNTA(SPLIT(TRIM(C104),"" ""))"),23.0)</f>
        <v>23</v>
      </c>
      <c r="E104" s="7">
        <f t="shared" si="1"/>
        <v>12</v>
      </c>
      <c r="F104" s="7" t="str">
        <f t="shared" si="2"/>
        <v>103.mp3</v>
      </c>
      <c r="G104" s="8" t="s">
        <v>8</v>
      </c>
    </row>
    <row r="105" ht="14.25" customHeight="1">
      <c r="A105" s="1">
        <v>104.0</v>
      </c>
      <c r="B105" s="1">
        <v>35.0</v>
      </c>
      <c r="C105" s="5" t="s">
        <v>108</v>
      </c>
      <c r="D105" s="6">
        <f>IFERROR(__xludf.DUMMYFUNCTION("COUNTA(SPLIT(TRIM(C105),"" ""))"),72.0)</f>
        <v>72</v>
      </c>
      <c r="E105" s="7">
        <f t="shared" si="1"/>
        <v>36</v>
      </c>
      <c r="F105" s="7" t="str">
        <f t="shared" si="2"/>
        <v>104.mp3</v>
      </c>
      <c r="G105" s="8" t="s">
        <v>8</v>
      </c>
    </row>
    <row r="106" ht="14.25" customHeight="1">
      <c r="A106" s="1">
        <v>105.0</v>
      </c>
      <c r="B106" s="1">
        <v>35.0</v>
      </c>
      <c r="C106" s="5" t="s">
        <v>109</v>
      </c>
      <c r="D106" s="6">
        <f>IFERROR(__xludf.DUMMYFUNCTION("COUNTA(SPLIT(TRIM(C106),"" ""))"),120.0)</f>
        <v>120</v>
      </c>
      <c r="E106" s="7">
        <f t="shared" si="1"/>
        <v>60</v>
      </c>
      <c r="F106" s="7" t="str">
        <f t="shared" si="2"/>
        <v>105.mp3</v>
      </c>
      <c r="G106" s="8" t="s">
        <v>8</v>
      </c>
    </row>
    <row r="107" ht="14.25" customHeight="1">
      <c r="A107" s="1">
        <v>106.0</v>
      </c>
      <c r="B107" s="1">
        <v>36.0</v>
      </c>
      <c r="C107" s="5" t="s">
        <v>110</v>
      </c>
      <c r="D107" s="6">
        <f>IFERROR(__xludf.DUMMYFUNCTION("COUNTA(SPLIT(TRIM(C107),"" ""))"),22.0)</f>
        <v>22</v>
      </c>
      <c r="E107" s="7">
        <f t="shared" si="1"/>
        <v>11</v>
      </c>
      <c r="F107" s="7" t="str">
        <f t="shared" si="2"/>
        <v>106.mp3</v>
      </c>
      <c r="G107" s="8" t="s">
        <v>8</v>
      </c>
    </row>
    <row r="108" ht="14.25" customHeight="1">
      <c r="A108" s="1">
        <v>107.0</v>
      </c>
      <c r="B108" s="1">
        <v>36.0</v>
      </c>
      <c r="C108" s="5" t="s">
        <v>111</v>
      </c>
      <c r="D108" s="6">
        <f>IFERROR(__xludf.DUMMYFUNCTION("COUNTA(SPLIT(TRIM(C108),"" ""))"),72.0)</f>
        <v>72</v>
      </c>
      <c r="E108" s="7">
        <f t="shared" si="1"/>
        <v>36</v>
      </c>
      <c r="F108" s="7" t="str">
        <f t="shared" si="2"/>
        <v>107.mp3</v>
      </c>
      <c r="G108" s="8" t="s">
        <v>8</v>
      </c>
    </row>
    <row r="109" ht="14.25" customHeight="1">
      <c r="A109" s="1">
        <v>108.0</v>
      </c>
      <c r="B109" s="1">
        <v>36.0</v>
      </c>
      <c r="C109" s="5" t="s">
        <v>112</v>
      </c>
      <c r="D109" s="6">
        <f>IFERROR(__xludf.DUMMYFUNCTION("COUNTA(SPLIT(TRIM(C109),"" ""))"),126.0)</f>
        <v>126</v>
      </c>
      <c r="E109" s="7">
        <f t="shared" si="1"/>
        <v>63</v>
      </c>
      <c r="F109" s="7" t="str">
        <f t="shared" si="2"/>
        <v>108.mp3</v>
      </c>
      <c r="G109" s="8" t="s">
        <v>8</v>
      </c>
    </row>
    <row r="110" ht="14.25" customHeight="1">
      <c r="A110" s="1">
        <v>109.0</v>
      </c>
      <c r="B110" s="1">
        <v>37.0</v>
      </c>
      <c r="C110" s="5" t="s">
        <v>113</v>
      </c>
      <c r="D110" s="6">
        <f>IFERROR(__xludf.DUMMYFUNCTION("COUNTA(SPLIT(TRIM(C110),"" ""))"),25.0)</f>
        <v>25</v>
      </c>
      <c r="E110" s="7">
        <f t="shared" si="1"/>
        <v>13</v>
      </c>
      <c r="F110" s="7" t="str">
        <f t="shared" si="2"/>
        <v>109.mp3</v>
      </c>
      <c r="G110" s="8" t="s">
        <v>8</v>
      </c>
    </row>
    <row r="111" ht="14.25" customHeight="1">
      <c r="A111" s="1">
        <v>110.0</v>
      </c>
      <c r="B111" s="1">
        <v>37.0</v>
      </c>
      <c r="C111" s="5" t="s">
        <v>114</v>
      </c>
      <c r="D111" s="6">
        <f>IFERROR(__xludf.DUMMYFUNCTION("COUNTA(SPLIT(TRIM(C111),"" ""))"),76.0)</f>
        <v>76</v>
      </c>
      <c r="E111" s="7">
        <f t="shared" si="1"/>
        <v>38</v>
      </c>
      <c r="F111" s="7" t="str">
        <f t="shared" si="2"/>
        <v>110.mp3</v>
      </c>
      <c r="G111" s="8" t="s">
        <v>8</v>
      </c>
    </row>
    <row r="112" ht="14.25" customHeight="1">
      <c r="A112" s="1">
        <v>111.0</v>
      </c>
      <c r="B112" s="1">
        <v>37.0</v>
      </c>
      <c r="C112" s="5" t="s">
        <v>115</v>
      </c>
      <c r="D112" s="6">
        <f>IFERROR(__xludf.DUMMYFUNCTION("COUNTA(SPLIT(TRIM(C112),"" ""))"),141.0)</f>
        <v>141</v>
      </c>
      <c r="E112" s="7">
        <f t="shared" si="1"/>
        <v>71</v>
      </c>
      <c r="F112" s="7" t="str">
        <f t="shared" si="2"/>
        <v>111.mp3</v>
      </c>
      <c r="G112" s="8" t="s">
        <v>8</v>
      </c>
    </row>
    <row r="113" ht="14.25" customHeight="1">
      <c r="A113" s="1">
        <v>112.0</v>
      </c>
      <c r="B113" s="1">
        <v>38.0</v>
      </c>
      <c r="C113" s="5" t="s">
        <v>116</v>
      </c>
      <c r="D113" s="6">
        <f>IFERROR(__xludf.DUMMYFUNCTION("COUNTA(SPLIT(TRIM(C113),"" ""))"),19.0)</f>
        <v>19</v>
      </c>
      <c r="E113" s="7">
        <f t="shared" si="1"/>
        <v>10</v>
      </c>
      <c r="F113" s="7" t="str">
        <f t="shared" si="2"/>
        <v>112.mp3</v>
      </c>
      <c r="G113" s="8" t="s">
        <v>8</v>
      </c>
    </row>
    <row r="114" ht="14.25" customHeight="1">
      <c r="A114" s="1">
        <v>113.0</v>
      </c>
      <c r="B114" s="1">
        <v>38.0</v>
      </c>
      <c r="C114" s="5" t="s">
        <v>117</v>
      </c>
      <c r="D114" s="6">
        <f>IFERROR(__xludf.DUMMYFUNCTION("COUNTA(SPLIT(TRIM(C114),"" ""))"),70.0)</f>
        <v>70</v>
      </c>
      <c r="E114" s="7">
        <f t="shared" si="1"/>
        <v>35</v>
      </c>
      <c r="F114" s="7" t="str">
        <f t="shared" si="2"/>
        <v>113.mp3</v>
      </c>
      <c r="G114" s="8" t="s">
        <v>8</v>
      </c>
    </row>
    <row r="115" ht="14.25" customHeight="1">
      <c r="A115" s="1">
        <v>114.0</v>
      </c>
      <c r="B115" s="1">
        <v>38.0</v>
      </c>
      <c r="C115" s="5" t="s">
        <v>118</v>
      </c>
      <c r="D115" s="6">
        <f>IFERROR(__xludf.DUMMYFUNCTION("COUNTA(SPLIT(TRIM(C115),"" ""))"),119.0)</f>
        <v>119</v>
      </c>
      <c r="E115" s="7">
        <f t="shared" si="1"/>
        <v>60</v>
      </c>
      <c r="F115" s="7" t="str">
        <f t="shared" si="2"/>
        <v>114.mp3</v>
      </c>
      <c r="G115" s="8" t="s">
        <v>8</v>
      </c>
    </row>
    <row r="116" ht="14.25" customHeight="1">
      <c r="A116" s="1">
        <v>115.0</v>
      </c>
      <c r="B116" s="1">
        <v>39.0</v>
      </c>
      <c r="C116" s="5" t="s">
        <v>119</v>
      </c>
      <c r="D116" s="6">
        <f>IFERROR(__xludf.DUMMYFUNCTION("COUNTA(SPLIT(TRIM(C116),"" ""))"),20.0)</f>
        <v>20</v>
      </c>
      <c r="E116" s="7">
        <f t="shared" si="1"/>
        <v>10</v>
      </c>
      <c r="F116" s="7" t="str">
        <f t="shared" si="2"/>
        <v>115.mp3</v>
      </c>
      <c r="G116" s="8" t="s">
        <v>8</v>
      </c>
    </row>
    <row r="117" ht="14.25" customHeight="1">
      <c r="A117" s="1">
        <v>116.0</v>
      </c>
      <c r="B117" s="1">
        <v>39.0</v>
      </c>
      <c r="C117" s="5" t="s">
        <v>120</v>
      </c>
      <c r="D117" s="6">
        <f>IFERROR(__xludf.DUMMYFUNCTION("COUNTA(SPLIT(TRIM(C117),"" ""))"),83.0)</f>
        <v>83</v>
      </c>
      <c r="E117" s="7">
        <f t="shared" si="1"/>
        <v>42</v>
      </c>
      <c r="F117" s="7" t="str">
        <f t="shared" si="2"/>
        <v>116.mp3</v>
      </c>
      <c r="G117" s="8" t="s">
        <v>8</v>
      </c>
    </row>
    <row r="118" ht="14.25" customHeight="1">
      <c r="A118" s="1">
        <v>117.0</v>
      </c>
      <c r="B118" s="1">
        <v>39.0</v>
      </c>
      <c r="C118" s="5" t="s">
        <v>121</v>
      </c>
      <c r="D118" s="6">
        <f>IFERROR(__xludf.DUMMYFUNCTION("COUNTA(SPLIT(TRIM(C118),"" ""))"),138.0)</f>
        <v>138</v>
      </c>
      <c r="E118" s="7">
        <f t="shared" si="1"/>
        <v>69</v>
      </c>
      <c r="F118" s="7" t="str">
        <f t="shared" si="2"/>
        <v>117.mp3</v>
      </c>
      <c r="G118" s="8" t="s">
        <v>8</v>
      </c>
    </row>
    <row r="119" ht="14.25" customHeight="1">
      <c r="A119" s="1">
        <v>118.0</v>
      </c>
      <c r="B119" s="1">
        <v>40.0</v>
      </c>
      <c r="C119" s="5" t="s">
        <v>122</v>
      </c>
      <c r="D119" s="6">
        <f>IFERROR(__xludf.DUMMYFUNCTION("COUNTA(SPLIT(TRIM(C119),"" ""))"),23.0)</f>
        <v>23</v>
      </c>
      <c r="E119" s="7">
        <f t="shared" si="1"/>
        <v>12</v>
      </c>
      <c r="F119" s="7" t="str">
        <f t="shared" si="2"/>
        <v>118.mp3</v>
      </c>
      <c r="G119" s="8" t="s">
        <v>8</v>
      </c>
    </row>
    <row r="120" ht="14.25" customHeight="1">
      <c r="A120" s="1">
        <v>119.0</v>
      </c>
      <c r="B120" s="1">
        <v>40.0</v>
      </c>
      <c r="C120" s="5" t="s">
        <v>123</v>
      </c>
      <c r="D120" s="6">
        <f>IFERROR(__xludf.DUMMYFUNCTION("COUNTA(SPLIT(TRIM(C120),"" ""))"),76.0)</f>
        <v>76</v>
      </c>
      <c r="E120" s="7">
        <f t="shared" si="1"/>
        <v>38</v>
      </c>
      <c r="F120" s="7" t="str">
        <f t="shared" si="2"/>
        <v>119.mp3</v>
      </c>
      <c r="G120" s="8" t="s">
        <v>8</v>
      </c>
    </row>
    <row r="121" ht="14.25" customHeight="1">
      <c r="A121" s="1">
        <v>120.0</v>
      </c>
      <c r="B121" s="1">
        <v>40.0</v>
      </c>
      <c r="C121" s="5" t="s">
        <v>124</v>
      </c>
      <c r="D121" s="6">
        <f>IFERROR(__xludf.DUMMYFUNCTION("COUNTA(SPLIT(TRIM(C121),"" ""))"),131.0)</f>
        <v>131</v>
      </c>
      <c r="E121" s="7">
        <f t="shared" si="1"/>
        <v>66</v>
      </c>
      <c r="F121" s="7" t="str">
        <f t="shared" si="2"/>
        <v>120.mp3</v>
      </c>
      <c r="G121" s="8" t="s">
        <v>8</v>
      </c>
    </row>
    <row r="122" ht="14.25" customHeight="1">
      <c r="A122" s="1">
        <v>121.0</v>
      </c>
      <c r="B122" s="1">
        <v>41.0</v>
      </c>
      <c r="C122" s="5" t="s">
        <v>125</v>
      </c>
      <c r="D122" s="6">
        <f>IFERROR(__xludf.DUMMYFUNCTION("COUNTA(SPLIT(TRIM(C122),"" ""))"),22.0)</f>
        <v>22</v>
      </c>
      <c r="E122" s="7">
        <f t="shared" si="1"/>
        <v>11</v>
      </c>
      <c r="F122" s="7" t="str">
        <f t="shared" si="2"/>
        <v>121.mp3</v>
      </c>
      <c r="G122" s="8" t="s">
        <v>8</v>
      </c>
    </row>
    <row r="123" ht="14.25" customHeight="1">
      <c r="A123" s="1">
        <v>122.0</v>
      </c>
      <c r="B123" s="1">
        <v>41.0</v>
      </c>
      <c r="C123" s="5" t="s">
        <v>126</v>
      </c>
      <c r="D123" s="6">
        <f>IFERROR(__xludf.DUMMYFUNCTION("COUNTA(SPLIT(TRIM(C123),"" ""))"),82.0)</f>
        <v>82</v>
      </c>
      <c r="E123" s="7">
        <f t="shared" si="1"/>
        <v>41</v>
      </c>
      <c r="F123" s="7" t="str">
        <f t="shared" si="2"/>
        <v>122.mp3</v>
      </c>
      <c r="G123" s="8" t="s">
        <v>8</v>
      </c>
    </row>
    <row r="124" ht="14.25" customHeight="1">
      <c r="A124" s="1">
        <v>123.0</v>
      </c>
      <c r="B124" s="1">
        <v>41.0</v>
      </c>
      <c r="C124" s="5" t="s">
        <v>127</v>
      </c>
      <c r="D124" s="6">
        <f>IFERROR(__xludf.DUMMYFUNCTION("COUNTA(SPLIT(TRIM(C124),"" ""))"),131.0)</f>
        <v>131</v>
      </c>
      <c r="E124" s="7">
        <f t="shared" si="1"/>
        <v>66</v>
      </c>
      <c r="F124" s="7" t="str">
        <f t="shared" si="2"/>
        <v>123.mp3</v>
      </c>
      <c r="G124" s="8" t="s">
        <v>8</v>
      </c>
    </row>
    <row r="125" ht="14.25" customHeight="1">
      <c r="A125" s="1">
        <v>124.0</v>
      </c>
      <c r="B125" s="1">
        <v>42.0</v>
      </c>
      <c r="C125" s="5" t="s">
        <v>128</v>
      </c>
      <c r="D125" s="6">
        <f>IFERROR(__xludf.DUMMYFUNCTION("COUNTA(SPLIT(TRIM(C125),"" ""))"),22.0)</f>
        <v>22</v>
      </c>
      <c r="E125" s="7">
        <f t="shared" si="1"/>
        <v>11</v>
      </c>
      <c r="F125" s="7" t="str">
        <f t="shared" si="2"/>
        <v>124.mp3</v>
      </c>
      <c r="G125" s="8" t="s">
        <v>8</v>
      </c>
    </row>
    <row r="126" ht="14.25" customHeight="1">
      <c r="A126" s="1">
        <v>125.0</v>
      </c>
      <c r="B126" s="1">
        <v>42.0</v>
      </c>
      <c r="C126" s="5" t="s">
        <v>129</v>
      </c>
      <c r="D126" s="6">
        <f>IFERROR(__xludf.DUMMYFUNCTION("COUNTA(SPLIT(TRIM(C126),"" ""))"),72.0)</f>
        <v>72</v>
      </c>
      <c r="E126" s="7">
        <f t="shared" si="1"/>
        <v>36</v>
      </c>
      <c r="F126" s="7" t="str">
        <f t="shared" si="2"/>
        <v>125.mp3</v>
      </c>
      <c r="G126" s="8" t="s">
        <v>8</v>
      </c>
    </row>
    <row r="127" ht="14.25" customHeight="1">
      <c r="A127" s="1">
        <v>126.0</v>
      </c>
      <c r="B127" s="1">
        <v>42.0</v>
      </c>
      <c r="C127" s="5" t="s">
        <v>130</v>
      </c>
      <c r="D127" s="6">
        <f>IFERROR(__xludf.DUMMYFUNCTION("COUNTA(SPLIT(TRIM(C127),"" ""))"),123.0)</f>
        <v>123</v>
      </c>
      <c r="E127" s="7">
        <f t="shared" si="1"/>
        <v>62</v>
      </c>
      <c r="F127" s="7" t="str">
        <f t="shared" si="2"/>
        <v>126.mp3</v>
      </c>
      <c r="G127" s="8" t="s">
        <v>8</v>
      </c>
    </row>
    <row r="128" ht="14.25" customHeight="1">
      <c r="A128" s="1">
        <v>127.0</v>
      </c>
      <c r="B128" s="1">
        <v>43.0</v>
      </c>
      <c r="C128" s="5" t="s">
        <v>131</v>
      </c>
      <c r="D128" s="6">
        <f>IFERROR(__xludf.DUMMYFUNCTION("COUNTA(SPLIT(TRIM(C128),"" ""))"),22.0)</f>
        <v>22</v>
      </c>
      <c r="E128" s="7">
        <f t="shared" si="1"/>
        <v>11</v>
      </c>
      <c r="F128" s="7" t="str">
        <f t="shared" si="2"/>
        <v>127.mp3</v>
      </c>
      <c r="G128" s="8" t="s">
        <v>8</v>
      </c>
    </row>
    <row r="129" ht="14.25" customHeight="1">
      <c r="A129" s="1">
        <v>128.0</v>
      </c>
      <c r="B129" s="1">
        <v>43.0</v>
      </c>
      <c r="C129" s="5" t="s">
        <v>132</v>
      </c>
      <c r="D129" s="6">
        <f>IFERROR(__xludf.DUMMYFUNCTION("COUNTA(SPLIT(TRIM(C129),"" ""))"),77.0)</f>
        <v>77</v>
      </c>
      <c r="E129" s="7">
        <f t="shared" si="1"/>
        <v>39</v>
      </c>
      <c r="F129" s="7" t="str">
        <f t="shared" si="2"/>
        <v>128.mp3</v>
      </c>
      <c r="G129" s="8" t="s">
        <v>8</v>
      </c>
    </row>
    <row r="130" ht="14.25" customHeight="1">
      <c r="A130" s="1">
        <v>129.0</v>
      </c>
      <c r="B130" s="1">
        <v>43.0</v>
      </c>
      <c r="C130" s="5" t="s">
        <v>133</v>
      </c>
      <c r="D130" s="6">
        <f>IFERROR(__xludf.DUMMYFUNCTION("COUNTA(SPLIT(TRIM(C130),"" ""))"),142.0)</f>
        <v>142</v>
      </c>
      <c r="E130" s="7">
        <f t="shared" si="1"/>
        <v>71</v>
      </c>
      <c r="F130" s="7" t="str">
        <f t="shared" si="2"/>
        <v>129.mp3</v>
      </c>
      <c r="G130" s="8" t="s">
        <v>8</v>
      </c>
    </row>
    <row r="131" ht="14.25" customHeight="1">
      <c r="A131" s="1">
        <v>130.0</v>
      </c>
      <c r="B131" s="1">
        <v>44.0</v>
      </c>
      <c r="C131" s="5" t="s">
        <v>134</v>
      </c>
      <c r="D131" s="6">
        <f>IFERROR(__xludf.DUMMYFUNCTION("COUNTA(SPLIT(TRIM(C131),"" ""))"),22.0)</f>
        <v>22</v>
      </c>
      <c r="E131" s="7">
        <f t="shared" si="1"/>
        <v>11</v>
      </c>
      <c r="F131" s="7" t="str">
        <f t="shared" si="2"/>
        <v>130.mp3</v>
      </c>
      <c r="G131" s="8" t="s">
        <v>8</v>
      </c>
    </row>
    <row r="132" ht="14.25" customHeight="1">
      <c r="A132" s="1">
        <v>131.0</v>
      </c>
      <c r="B132" s="1">
        <v>44.0</v>
      </c>
      <c r="C132" s="5" t="s">
        <v>135</v>
      </c>
      <c r="D132" s="6">
        <f>IFERROR(__xludf.DUMMYFUNCTION("COUNTA(SPLIT(TRIM(C132),"" ""))"),94.0)</f>
        <v>94</v>
      </c>
      <c r="E132" s="7">
        <f t="shared" si="1"/>
        <v>47</v>
      </c>
      <c r="F132" s="7" t="str">
        <f t="shared" si="2"/>
        <v>131.mp3</v>
      </c>
      <c r="G132" s="8" t="s">
        <v>8</v>
      </c>
    </row>
    <row r="133" ht="14.25" customHeight="1">
      <c r="A133" s="1">
        <v>132.0</v>
      </c>
      <c r="B133" s="1">
        <v>44.0</v>
      </c>
      <c r="C133" s="5" t="s">
        <v>136</v>
      </c>
      <c r="D133" s="6">
        <f>IFERROR(__xludf.DUMMYFUNCTION("COUNTA(SPLIT(TRIM(C133),"" ""))"),148.0)</f>
        <v>148</v>
      </c>
      <c r="E133" s="7">
        <f t="shared" si="1"/>
        <v>74</v>
      </c>
      <c r="F133" s="7" t="str">
        <f t="shared" si="2"/>
        <v>132.mp3</v>
      </c>
      <c r="G133" s="8" t="s">
        <v>8</v>
      </c>
    </row>
    <row r="134" ht="14.25" customHeight="1">
      <c r="A134" s="1">
        <v>133.0</v>
      </c>
      <c r="B134" s="1">
        <v>45.0</v>
      </c>
      <c r="C134" s="5" t="s">
        <v>137</v>
      </c>
      <c r="D134" s="6">
        <f>IFERROR(__xludf.DUMMYFUNCTION("COUNTA(SPLIT(TRIM(C134),"" ""))"),21.0)</f>
        <v>21</v>
      </c>
      <c r="E134" s="7">
        <f t="shared" si="1"/>
        <v>11</v>
      </c>
      <c r="F134" s="7" t="str">
        <f t="shared" si="2"/>
        <v>133.mp3</v>
      </c>
      <c r="G134" s="8" t="s">
        <v>8</v>
      </c>
    </row>
    <row r="135" ht="14.25" customHeight="1">
      <c r="A135" s="1">
        <v>134.0</v>
      </c>
      <c r="B135" s="1">
        <v>45.0</v>
      </c>
      <c r="C135" s="5" t="s">
        <v>138</v>
      </c>
      <c r="D135" s="6">
        <f>IFERROR(__xludf.DUMMYFUNCTION("COUNTA(SPLIT(TRIM(C135),"" ""))"),83.0)</f>
        <v>83</v>
      </c>
      <c r="E135" s="7">
        <f t="shared" si="1"/>
        <v>42</v>
      </c>
      <c r="F135" s="7" t="str">
        <f t="shared" si="2"/>
        <v>134.mp3</v>
      </c>
      <c r="G135" s="8" t="s">
        <v>8</v>
      </c>
    </row>
    <row r="136" ht="14.25" customHeight="1">
      <c r="A136" s="1">
        <v>135.0</v>
      </c>
      <c r="B136" s="1">
        <v>45.0</v>
      </c>
      <c r="C136" s="5" t="s">
        <v>139</v>
      </c>
      <c r="D136" s="6">
        <f>IFERROR(__xludf.DUMMYFUNCTION("COUNTA(SPLIT(TRIM(C136),"" ""))"),138.0)</f>
        <v>138</v>
      </c>
      <c r="E136" s="7">
        <f t="shared" si="1"/>
        <v>69</v>
      </c>
      <c r="F136" s="7" t="str">
        <f t="shared" si="2"/>
        <v>135.mp3</v>
      </c>
      <c r="G136" s="8" t="s">
        <v>8</v>
      </c>
    </row>
    <row r="137" ht="14.25" customHeight="1">
      <c r="A137" s="1">
        <v>136.0</v>
      </c>
      <c r="B137" s="1">
        <v>46.0</v>
      </c>
      <c r="C137" s="5" t="s">
        <v>140</v>
      </c>
      <c r="D137" s="6">
        <f>IFERROR(__xludf.DUMMYFUNCTION("COUNTA(SPLIT(TRIM(C137),"" ""))"),25.0)</f>
        <v>25</v>
      </c>
      <c r="E137" s="7">
        <f t="shared" si="1"/>
        <v>13</v>
      </c>
      <c r="F137" s="7" t="str">
        <f t="shared" si="2"/>
        <v>136.mp3</v>
      </c>
      <c r="G137" s="8" t="s">
        <v>8</v>
      </c>
    </row>
    <row r="138" ht="14.25" customHeight="1">
      <c r="A138" s="1">
        <v>137.0</v>
      </c>
      <c r="B138" s="1">
        <v>46.0</v>
      </c>
      <c r="C138" s="5" t="s">
        <v>141</v>
      </c>
      <c r="D138" s="6">
        <f>IFERROR(__xludf.DUMMYFUNCTION("COUNTA(SPLIT(TRIM(C138),"" ""))"),82.0)</f>
        <v>82</v>
      </c>
      <c r="E138" s="7">
        <f t="shared" si="1"/>
        <v>41</v>
      </c>
      <c r="F138" s="7" t="str">
        <f t="shared" si="2"/>
        <v>137.mp3</v>
      </c>
      <c r="G138" s="8" t="s">
        <v>8</v>
      </c>
    </row>
    <row r="139" ht="14.25" customHeight="1">
      <c r="A139" s="1">
        <v>138.0</v>
      </c>
      <c r="B139" s="1">
        <v>46.0</v>
      </c>
      <c r="C139" s="5" t="s">
        <v>142</v>
      </c>
      <c r="D139" s="6">
        <f>IFERROR(__xludf.DUMMYFUNCTION("COUNTA(SPLIT(TRIM(C139),"" ""))"),128.0)</f>
        <v>128</v>
      </c>
      <c r="E139" s="7">
        <f t="shared" si="1"/>
        <v>64</v>
      </c>
      <c r="F139" s="7" t="str">
        <f t="shared" si="2"/>
        <v>138.mp3</v>
      </c>
      <c r="G139" s="8" t="s">
        <v>8</v>
      </c>
    </row>
    <row r="140" ht="14.25" customHeight="1">
      <c r="A140" s="1">
        <v>139.0</v>
      </c>
      <c r="B140" s="1">
        <v>47.0</v>
      </c>
      <c r="C140" s="5" t="s">
        <v>143</v>
      </c>
      <c r="D140" s="6">
        <f>IFERROR(__xludf.DUMMYFUNCTION("COUNTA(SPLIT(TRIM(C140),"" ""))"),24.0)</f>
        <v>24</v>
      </c>
      <c r="E140" s="7">
        <f t="shared" si="1"/>
        <v>12</v>
      </c>
      <c r="F140" s="7" t="str">
        <f t="shared" si="2"/>
        <v>139.mp3</v>
      </c>
      <c r="G140" s="8" t="s">
        <v>8</v>
      </c>
    </row>
    <row r="141" ht="14.25" customHeight="1">
      <c r="A141" s="1">
        <v>140.0</v>
      </c>
      <c r="B141" s="1">
        <v>47.0</v>
      </c>
      <c r="C141" s="5" t="s">
        <v>144</v>
      </c>
      <c r="D141" s="6">
        <f>IFERROR(__xludf.DUMMYFUNCTION("COUNTA(SPLIT(TRIM(C141),"" ""))"),82.0)</f>
        <v>82</v>
      </c>
      <c r="E141" s="7">
        <f t="shared" si="1"/>
        <v>41</v>
      </c>
      <c r="F141" s="7" t="str">
        <f t="shared" si="2"/>
        <v>140.mp3</v>
      </c>
      <c r="G141" s="8" t="s">
        <v>8</v>
      </c>
    </row>
    <row r="142" ht="14.25" customHeight="1">
      <c r="A142" s="1">
        <v>141.0</v>
      </c>
      <c r="B142" s="1">
        <v>47.0</v>
      </c>
      <c r="C142" s="5" t="s">
        <v>145</v>
      </c>
      <c r="D142" s="6">
        <f>IFERROR(__xludf.DUMMYFUNCTION("COUNTA(SPLIT(TRIM(C142),"" ""))"),144.0)</f>
        <v>144</v>
      </c>
      <c r="E142" s="7">
        <f t="shared" si="1"/>
        <v>72</v>
      </c>
      <c r="F142" s="7" t="str">
        <f t="shared" si="2"/>
        <v>141.mp3</v>
      </c>
      <c r="G142" s="8" t="s">
        <v>8</v>
      </c>
    </row>
    <row r="143" ht="14.25" customHeight="1">
      <c r="A143" s="1">
        <v>142.0</v>
      </c>
      <c r="B143" s="1">
        <v>48.0</v>
      </c>
      <c r="C143" s="5" t="s">
        <v>146</v>
      </c>
      <c r="D143" s="6">
        <f>IFERROR(__xludf.DUMMYFUNCTION("COUNTA(SPLIT(TRIM(C143),"" ""))"),25.0)</f>
        <v>25</v>
      </c>
      <c r="E143" s="7">
        <f t="shared" si="1"/>
        <v>13</v>
      </c>
      <c r="F143" s="7" t="str">
        <f t="shared" si="2"/>
        <v>142.mp3</v>
      </c>
      <c r="G143" s="8" t="s">
        <v>8</v>
      </c>
    </row>
    <row r="144" ht="14.25" customHeight="1">
      <c r="A144" s="1">
        <v>143.0</v>
      </c>
      <c r="B144" s="1">
        <v>48.0</v>
      </c>
      <c r="C144" s="5" t="s">
        <v>147</v>
      </c>
      <c r="D144" s="6">
        <f>IFERROR(__xludf.DUMMYFUNCTION("COUNTA(SPLIT(TRIM(C144),"" ""))"),79.0)</f>
        <v>79</v>
      </c>
      <c r="E144" s="7">
        <f t="shared" si="1"/>
        <v>40</v>
      </c>
      <c r="F144" s="7" t="str">
        <f t="shared" si="2"/>
        <v>143.mp3</v>
      </c>
      <c r="G144" s="8" t="s">
        <v>8</v>
      </c>
    </row>
    <row r="145" ht="14.25" customHeight="1">
      <c r="A145" s="1">
        <v>144.0</v>
      </c>
      <c r="B145" s="1">
        <v>48.0</v>
      </c>
      <c r="C145" s="5" t="s">
        <v>148</v>
      </c>
      <c r="D145" s="6">
        <f>IFERROR(__xludf.DUMMYFUNCTION("COUNTA(SPLIT(TRIM(C145),"" ""))"),119.0)</f>
        <v>119</v>
      </c>
      <c r="E145" s="7">
        <f t="shared" si="1"/>
        <v>60</v>
      </c>
      <c r="F145" s="7" t="str">
        <f t="shared" si="2"/>
        <v>144.mp3</v>
      </c>
      <c r="G145" s="8" t="s">
        <v>8</v>
      </c>
    </row>
    <row r="146" ht="14.25" customHeight="1">
      <c r="A146" s="1">
        <v>145.0</v>
      </c>
      <c r="B146" s="1">
        <v>49.0</v>
      </c>
      <c r="C146" s="5" t="s">
        <v>149</v>
      </c>
      <c r="D146" s="6">
        <f>IFERROR(__xludf.DUMMYFUNCTION("COUNTA(SPLIT(TRIM(C146),"" ""))"),21.0)</f>
        <v>21</v>
      </c>
      <c r="E146" s="7">
        <f t="shared" si="1"/>
        <v>11</v>
      </c>
      <c r="F146" s="7" t="str">
        <f t="shared" si="2"/>
        <v>145.mp3</v>
      </c>
      <c r="G146" s="8" t="s">
        <v>8</v>
      </c>
    </row>
    <row r="147" ht="14.25" customHeight="1">
      <c r="A147" s="1">
        <v>146.0</v>
      </c>
      <c r="B147" s="1">
        <v>49.0</v>
      </c>
      <c r="C147" s="5" t="s">
        <v>150</v>
      </c>
      <c r="D147" s="6">
        <f>IFERROR(__xludf.DUMMYFUNCTION("COUNTA(SPLIT(TRIM(C147),"" ""))"),69.0)</f>
        <v>69</v>
      </c>
      <c r="E147" s="7">
        <f t="shared" si="1"/>
        <v>35</v>
      </c>
      <c r="F147" s="7" t="str">
        <f t="shared" si="2"/>
        <v>146.mp3</v>
      </c>
      <c r="G147" s="8" t="s">
        <v>8</v>
      </c>
    </row>
    <row r="148" ht="14.25" customHeight="1">
      <c r="A148" s="1">
        <v>147.0</v>
      </c>
      <c r="B148" s="1">
        <v>49.0</v>
      </c>
      <c r="C148" s="5" t="s">
        <v>151</v>
      </c>
      <c r="D148" s="6">
        <f>IFERROR(__xludf.DUMMYFUNCTION("COUNTA(SPLIT(TRIM(C148),"" ""))"),121.0)</f>
        <v>121</v>
      </c>
      <c r="E148" s="7">
        <f t="shared" si="1"/>
        <v>61</v>
      </c>
      <c r="F148" s="7" t="str">
        <f t="shared" si="2"/>
        <v>147.mp3</v>
      </c>
      <c r="G148" s="8" t="s">
        <v>8</v>
      </c>
    </row>
    <row r="149" ht="14.25" customHeight="1">
      <c r="A149" s="1">
        <v>148.0</v>
      </c>
      <c r="B149" s="1">
        <v>50.0</v>
      </c>
      <c r="C149" s="5" t="s">
        <v>152</v>
      </c>
      <c r="D149" s="6">
        <f>IFERROR(__xludf.DUMMYFUNCTION("COUNTA(SPLIT(TRIM(C149),"" ""))"),23.0)</f>
        <v>23</v>
      </c>
      <c r="E149" s="7">
        <f t="shared" si="1"/>
        <v>12</v>
      </c>
      <c r="F149" s="7" t="str">
        <f t="shared" si="2"/>
        <v>148.mp3</v>
      </c>
      <c r="G149" s="8" t="s">
        <v>8</v>
      </c>
    </row>
    <row r="150" ht="14.25" customHeight="1">
      <c r="A150" s="1">
        <v>149.0</v>
      </c>
      <c r="B150" s="1">
        <v>50.0</v>
      </c>
      <c r="C150" s="5" t="s">
        <v>153</v>
      </c>
      <c r="D150" s="6">
        <f>IFERROR(__xludf.DUMMYFUNCTION("COUNTA(SPLIT(TRIM(C150),"" ""))"),75.0)</f>
        <v>75</v>
      </c>
      <c r="E150" s="7">
        <f t="shared" si="1"/>
        <v>38</v>
      </c>
      <c r="F150" s="7" t="str">
        <f t="shared" si="2"/>
        <v>149.mp3</v>
      </c>
      <c r="G150" s="8" t="s">
        <v>8</v>
      </c>
    </row>
    <row r="151" ht="14.25" customHeight="1">
      <c r="A151" s="1">
        <v>150.0</v>
      </c>
      <c r="B151" s="1">
        <v>50.0</v>
      </c>
      <c r="C151" s="5" t="s">
        <v>154</v>
      </c>
      <c r="D151" s="6">
        <f>IFERROR(__xludf.DUMMYFUNCTION("COUNTA(SPLIT(TRIM(C151),"" ""))"),126.0)</f>
        <v>126</v>
      </c>
      <c r="E151" s="7">
        <f t="shared" si="1"/>
        <v>63</v>
      </c>
      <c r="F151" s="7" t="str">
        <f t="shared" si="2"/>
        <v>150.mp3</v>
      </c>
      <c r="G151" s="8" t="s">
        <v>8</v>
      </c>
    </row>
    <row r="152" ht="14.25" customHeight="1">
      <c r="A152" s="1">
        <v>151.0</v>
      </c>
      <c r="B152" s="1">
        <v>51.0</v>
      </c>
      <c r="C152" s="5" t="s">
        <v>155</v>
      </c>
      <c r="D152" s="6">
        <f>IFERROR(__xludf.DUMMYFUNCTION("COUNTA(SPLIT(TRIM(C152),"" ""))"),22.0)</f>
        <v>22</v>
      </c>
      <c r="E152" s="7">
        <f t="shared" si="1"/>
        <v>11</v>
      </c>
      <c r="F152" s="7" t="str">
        <f t="shared" si="2"/>
        <v>151.mp3</v>
      </c>
      <c r="G152" s="8" t="s">
        <v>8</v>
      </c>
    </row>
    <row r="153" ht="14.25" customHeight="1">
      <c r="A153" s="1">
        <v>152.0</v>
      </c>
      <c r="B153" s="1">
        <v>51.0</v>
      </c>
      <c r="C153" s="5" t="s">
        <v>156</v>
      </c>
      <c r="D153" s="6">
        <f>IFERROR(__xludf.DUMMYFUNCTION("COUNTA(SPLIT(TRIM(C153),"" ""))"),67.0)</f>
        <v>67</v>
      </c>
      <c r="E153" s="7">
        <f t="shared" si="1"/>
        <v>34</v>
      </c>
      <c r="F153" s="7" t="str">
        <f t="shared" si="2"/>
        <v>152.mp3</v>
      </c>
      <c r="G153" s="8" t="s">
        <v>8</v>
      </c>
    </row>
    <row r="154" ht="14.25" customHeight="1">
      <c r="A154" s="1">
        <v>153.0</v>
      </c>
      <c r="B154" s="1">
        <v>51.0</v>
      </c>
      <c r="C154" s="5" t="s">
        <v>157</v>
      </c>
      <c r="D154" s="6">
        <f>IFERROR(__xludf.DUMMYFUNCTION("COUNTA(SPLIT(TRIM(C154),"" ""))"),113.0)</f>
        <v>113</v>
      </c>
      <c r="E154" s="7">
        <f t="shared" si="1"/>
        <v>57</v>
      </c>
      <c r="F154" s="7" t="str">
        <f t="shared" si="2"/>
        <v>153.mp3</v>
      </c>
      <c r="G154" s="8" t="s">
        <v>8</v>
      </c>
    </row>
    <row r="155" ht="14.25" customHeight="1">
      <c r="A155" s="1">
        <v>154.0</v>
      </c>
      <c r="B155" s="1">
        <v>52.0</v>
      </c>
      <c r="C155" s="5" t="s">
        <v>158</v>
      </c>
      <c r="D155" s="6">
        <f>IFERROR(__xludf.DUMMYFUNCTION("COUNTA(SPLIT(TRIM(C155),"" ""))"),23.0)</f>
        <v>23</v>
      </c>
      <c r="E155" s="7">
        <f t="shared" si="1"/>
        <v>12</v>
      </c>
      <c r="F155" s="7" t="str">
        <f t="shared" si="2"/>
        <v>154.mp3</v>
      </c>
      <c r="G155" s="8" t="s">
        <v>8</v>
      </c>
    </row>
    <row r="156" ht="14.25" customHeight="1">
      <c r="A156" s="1">
        <v>155.0</v>
      </c>
      <c r="B156" s="1">
        <v>52.0</v>
      </c>
      <c r="C156" s="5" t="s">
        <v>159</v>
      </c>
      <c r="D156" s="6">
        <f>IFERROR(__xludf.DUMMYFUNCTION("COUNTA(SPLIT(TRIM(C156),"" ""))"),82.0)</f>
        <v>82</v>
      </c>
      <c r="E156" s="7">
        <f t="shared" si="1"/>
        <v>41</v>
      </c>
      <c r="F156" s="7" t="str">
        <f t="shared" si="2"/>
        <v>155.mp3</v>
      </c>
      <c r="G156" s="8" t="s">
        <v>8</v>
      </c>
    </row>
    <row r="157" ht="14.25" customHeight="1">
      <c r="A157" s="1">
        <v>156.0</v>
      </c>
      <c r="B157" s="1">
        <v>52.0</v>
      </c>
      <c r="C157" s="5" t="s">
        <v>160</v>
      </c>
      <c r="D157" s="6">
        <f>IFERROR(__xludf.DUMMYFUNCTION("COUNTA(SPLIT(TRIM(C157),"" ""))"),113.0)</f>
        <v>113</v>
      </c>
      <c r="E157" s="7">
        <f t="shared" si="1"/>
        <v>57</v>
      </c>
      <c r="F157" s="7" t="str">
        <f t="shared" si="2"/>
        <v>156.mp3</v>
      </c>
      <c r="G157" s="8" t="s">
        <v>8</v>
      </c>
    </row>
    <row r="158" ht="14.25" customHeight="1">
      <c r="A158" s="1">
        <v>157.0</v>
      </c>
      <c r="B158" s="1">
        <v>53.0</v>
      </c>
      <c r="C158" s="5" t="s">
        <v>161</v>
      </c>
      <c r="D158" s="6">
        <f>IFERROR(__xludf.DUMMYFUNCTION("COUNTA(SPLIT(TRIM(C158),"" ""))"),22.0)</f>
        <v>22</v>
      </c>
      <c r="E158" s="7">
        <f t="shared" si="1"/>
        <v>11</v>
      </c>
      <c r="F158" s="7" t="str">
        <f t="shared" si="2"/>
        <v>157.mp3</v>
      </c>
      <c r="G158" s="8" t="s">
        <v>8</v>
      </c>
    </row>
    <row r="159" ht="14.25" customHeight="1">
      <c r="A159" s="1">
        <v>158.0</v>
      </c>
      <c r="B159" s="1">
        <v>53.0</v>
      </c>
      <c r="C159" s="5" t="s">
        <v>162</v>
      </c>
      <c r="D159" s="6">
        <f>IFERROR(__xludf.DUMMYFUNCTION("COUNTA(SPLIT(TRIM(C159),"" ""))"),57.0)</f>
        <v>57</v>
      </c>
      <c r="E159" s="7">
        <f t="shared" si="1"/>
        <v>29</v>
      </c>
      <c r="F159" s="7" t="str">
        <f t="shared" si="2"/>
        <v>158.mp3</v>
      </c>
      <c r="G159" s="8" t="s">
        <v>8</v>
      </c>
    </row>
    <row r="160" ht="14.25" customHeight="1">
      <c r="A160" s="1">
        <v>159.0</v>
      </c>
      <c r="B160" s="1">
        <v>53.0</v>
      </c>
      <c r="C160" s="5" t="s">
        <v>163</v>
      </c>
      <c r="D160" s="6">
        <f>IFERROR(__xludf.DUMMYFUNCTION("COUNTA(SPLIT(TRIM(C160),"" ""))"),121.0)</f>
        <v>121</v>
      </c>
      <c r="E160" s="7">
        <f t="shared" si="1"/>
        <v>61</v>
      </c>
      <c r="F160" s="7" t="str">
        <f t="shared" si="2"/>
        <v>159.mp3</v>
      </c>
      <c r="G160" s="8" t="s">
        <v>8</v>
      </c>
    </row>
    <row r="161" ht="14.25" customHeight="1">
      <c r="A161" s="1">
        <v>160.0</v>
      </c>
      <c r="B161" s="1">
        <v>54.0</v>
      </c>
      <c r="C161" s="5" t="s">
        <v>164</v>
      </c>
      <c r="D161" s="6">
        <f>IFERROR(__xludf.DUMMYFUNCTION("COUNTA(SPLIT(TRIM(C161),"" ""))"),21.0)</f>
        <v>21</v>
      </c>
      <c r="E161" s="7">
        <f t="shared" si="1"/>
        <v>11</v>
      </c>
      <c r="F161" s="7" t="str">
        <f t="shared" si="2"/>
        <v>160.mp3</v>
      </c>
      <c r="G161" s="8" t="s">
        <v>8</v>
      </c>
    </row>
    <row r="162" ht="14.25" customHeight="1">
      <c r="A162" s="1">
        <v>161.0</v>
      </c>
      <c r="B162" s="1">
        <v>54.0</v>
      </c>
      <c r="C162" s="5" t="s">
        <v>165</v>
      </c>
      <c r="D162" s="6">
        <f>IFERROR(__xludf.DUMMYFUNCTION("COUNTA(SPLIT(TRIM(C162),"" ""))"),74.0)</f>
        <v>74</v>
      </c>
      <c r="E162" s="7">
        <f t="shared" si="1"/>
        <v>37</v>
      </c>
      <c r="F162" s="7" t="str">
        <f t="shared" si="2"/>
        <v>161.mp3</v>
      </c>
      <c r="G162" s="8" t="s">
        <v>8</v>
      </c>
    </row>
    <row r="163" ht="14.25" customHeight="1">
      <c r="A163" s="1">
        <v>162.0</v>
      </c>
      <c r="B163" s="1">
        <v>54.0</v>
      </c>
      <c r="C163" s="5" t="s">
        <v>166</v>
      </c>
      <c r="D163" s="6">
        <f>IFERROR(__xludf.DUMMYFUNCTION("COUNTA(SPLIT(TRIM(C163),"" ""))"),146.0)</f>
        <v>146</v>
      </c>
      <c r="E163" s="7">
        <f t="shared" si="1"/>
        <v>73</v>
      </c>
      <c r="F163" s="7" t="str">
        <f t="shared" si="2"/>
        <v>162.mp3</v>
      </c>
      <c r="G163" s="8" t="s">
        <v>8</v>
      </c>
    </row>
    <row r="164" ht="14.25" customHeight="1">
      <c r="A164" s="1">
        <v>163.0</v>
      </c>
      <c r="B164" s="1">
        <v>55.0</v>
      </c>
      <c r="C164" s="5" t="s">
        <v>167</v>
      </c>
      <c r="D164" s="6">
        <f>IFERROR(__xludf.DUMMYFUNCTION("COUNTA(SPLIT(TRIM(C164),"" ""))"),24.0)</f>
        <v>24</v>
      </c>
      <c r="E164" s="7">
        <f t="shared" si="1"/>
        <v>12</v>
      </c>
      <c r="F164" s="7" t="str">
        <f t="shared" si="2"/>
        <v>163.mp3</v>
      </c>
      <c r="G164" s="8" t="s">
        <v>8</v>
      </c>
    </row>
    <row r="165" ht="14.25" customHeight="1">
      <c r="A165" s="1">
        <v>164.0</v>
      </c>
      <c r="B165" s="1">
        <v>55.0</v>
      </c>
      <c r="C165" s="5" t="s">
        <v>168</v>
      </c>
      <c r="D165" s="6">
        <f>IFERROR(__xludf.DUMMYFUNCTION("COUNTA(SPLIT(TRIM(C165),"" ""))"),70.0)</f>
        <v>70</v>
      </c>
      <c r="E165" s="7">
        <f t="shared" si="1"/>
        <v>35</v>
      </c>
      <c r="F165" s="7" t="str">
        <f t="shared" si="2"/>
        <v>164.mp3</v>
      </c>
      <c r="G165" s="8" t="s">
        <v>8</v>
      </c>
    </row>
    <row r="166" ht="14.25" customHeight="1">
      <c r="A166" s="1">
        <v>165.0</v>
      </c>
      <c r="B166" s="1">
        <v>55.0</v>
      </c>
      <c r="C166" s="5" t="s">
        <v>169</v>
      </c>
      <c r="D166" s="6">
        <f>IFERROR(__xludf.DUMMYFUNCTION("COUNTA(SPLIT(TRIM(C166),"" ""))"),128.0)</f>
        <v>128</v>
      </c>
      <c r="E166" s="7">
        <f t="shared" si="1"/>
        <v>64</v>
      </c>
      <c r="F166" s="7" t="str">
        <f t="shared" si="2"/>
        <v>165.mp3</v>
      </c>
      <c r="G166" s="8" t="s">
        <v>8</v>
      </c>
    </row>
    <row r="167" ht="14.25" customHeight="1">
      <c r="A167" s="1">
        <v>166.0</v>
      </c>
      <c r="B167" s="1">
        <v>56.0</v>
      </c>
      <c r="C167" s="5" t="s">
        <v>170</v>
      </c>
      <c r="D167" s="6">
        <f>IFERROR(__xludf.DUMMYFUNCTION("COUNTA(SPLIT(TRIM(C167),"" ""))"),19.0)</f>
        <v>19</v>
      </c>
      <c r="E167" s="7">
        <f t="shared" si="1"/>
        <v>10</v>
      </c>
      <c r="F167" s="7" t="str">
        <f t="shared" si="2"/>
        <v>166.mp3</v>
      </c>
      <c r="G167" s="8" t="s">
        <v>8</v>
      </c>
    </row>
    <row r="168" ht="14.25" customHeight="1">
      <c r="A168" s="1">
        <v>167.0</v>
      </c>
      <c r="B168" s="1">
        <v>56.0</v>
      </c>
      <c r="C168" s="5" t="s">
        <v>171</v>
      </c>
      <c r="D168" s="6">
        <f>IFERROR(__xludf.DUMMYFUNCTION("COUNTA(SPLIT(TRIM(C168),"" ""))"),71.0)</f>
        <v>71</v>
      </c>
      <c r="E168" s="7">
        <f t="shared" si="1"/>
        <v>36</v>
      </c>
      <c r="F168" s="7" t="str">
        <f t="shared" si="2"/>
        <v>167.mp3</v>
      </c>
      <c r="G168" s="8" t="s">
        <v>8</v>
      </c>
    </row>
    <row r="169" ht="14.25" customHeight="1">
      <c r="A169" s="1">
        <v>168.0</v>
      </c>
      <c r="B169" s="1">
        <v>56.0</v>
      </c>
      <c r="C169" s="5" t="s">
        <v>172</v>
      </c>
      <c r="D169" s="6">
        <f>IFERROR(__xludf.DUMMYFUNCTION("COUNTA(SPLIT(TRIM(C169),"" ""))"),130.0)</f>
        <v>130</v>
      </c>
      <c r="E169" s="7">
        <f t="shared" si="1"/>
        <v>65</v>
      </c>
      <c r="F169" s="7" t="str">
        <f t="shared" si="2"/>
        <v>168.mp3</v>
      </c>
      <c r="G169" s="8" t="s">
        <v>8</v>
      </c>
    </row>
    <row r="170" ht="14.25" customHeight="1">
      <c r="A170" s="1">
        <v>169.0</v>
      </c>
      <c r="B170" s="1">
        <v>57.0</v>
      </c>
      <c r="C170" s="5" t="s">
        <v>173</v>
      </c>
      <c r="D170" s="6">
        <f>IFERROR(__xludf.DUMMYFUNCTION("COUNTA(SPLIT(TRIM(C170),"" ""))"),23.0)</f>
        <v>23</v>
      </c>
      <c r="E170" s="7">
        <f t="shared" si="1"/>
        <v>12</v>
      </c>
      <c r="F170" s="7" t="str">
        <f t="shared" si="2"/>
        <v>169.mp3</v>
      </c>
      <c r="G170" s="8" t="s">
        <v>8</v>
      </c>
    </row>
    <row r="171" ht="14.25" customHeight="1">
      <c r="A171" s="1">
        <v>170.0</v>
      </c>
      <c r="B171" s="1">
        <v>57.0</v>
      </c>
      <c r="C171" s="5" t="s">
        <v>174</v>
      </c>
      <c r="D171" s="6">
        <f>IFERROR(__xludf.DUMMYFUNCTION("COUNTA(SPLIT(TRIM(C171),"" ""))"),79.0)</f>
        <v>79</v>
      </c>
      <c r="E171" s="7">
        <f t="shared" si="1"/>
        <v>40</v>
      </c>
      <c r="F171" s="7" t="str">
        <f t="shared" si="2"/>
        <v>170.mp3</v>
      </c>
      <c r="G171" s="8" t="s">
        <v>8</v>
      </c>
    </row>
    <row r="172" ht="14.25" customHeight="1">
      <c r="A172" s="1">
        <v>171.0</v>
      </c>
      <c r="B172" s="1">
        <v>57.0</v>
      </c>
      <c r="C172" s="5" t="s">
        <v>175</v>
      </c>
      <c r="D172" s="6">
        <f>IFERROR(__xludf.DUMMYFUNCTION("COUNTA(SPLIT(TRIM(C172),"" ""))"),147.0)</f>
        <v>147</v>
      </c>
      <c r="E172" s="7">
        <f t="shared" si="1"/>
        <v>74</v>
      </c>
      <c r="F172" s="7" t="str">
        <f t="shared" si="2"/>
        <v>171.mp3</v>
      </c>
      <c r="G172" s="8" t="s">
        <v>8</v>
      </c>
    </row>
    <row r="173" ht="14.25" customHeight="1">
      <c r="A173" s="1">
        <v>172.0</v>
      </c>
      <c r="B173" s="1">
        <v>58.0</v>
      </c>
      <c r="C173" s="5" t="s">
        <v>176</v>
      </c>
      <c r="D173" s="6">
        <f>IFERROR(__xludf.DUMMYFUNCTION("COUNTA(SPLIT(TRIM(C173),"" ""))"),23.0)</f>
        <v>23</v>
      </c>
      <c r="E173" s="7">
        <f t="shared" si="1"/>
        <v>12</v>
      </c>
      <c r="F173" s="7" t="str">
        <f t="shared" si="2"/>
        <v>172.mp3</v>
      </c>
      <c r="G173" s="8" t="s">
        <v>8</v>
      </c>
    </row>
    <row r="174" ht="14.25" customHeight="1">
      <c r="A174" s="1">
        <v>173.0</v>
      </c>
      <c r="B174" s="1">
        <v>58.0</v>
      </c>
      <c r="C174" s="5" t="s">
        <v>177</v>
      </c>
      <c r="D174" s="6">
        <f>IFERROR(__xludf.DUMMYFUNCTION("COUNTA(SPLIT(TRIM(C174),"" ""))"),74.0)</f>
        <v>74</v>
      </c>
      <c r="E174" s="7">
        <f t="shared" si="1"/>
        <v>37</v>
      </c>
      <c r="F174" s="7" t="str">
        <f t="shared" si="2"/>
        <v>173.mp3</v>
      </c>
      <c r="G174" s="8" t="s">
        <v>8</v>
      </c>
    </row>
    <row r="175" ht="14.25" customHeight="1">
      <c r="A175" s="1">
        <v>174.0</v>
      </c>
      <c r="B175" s="1">
        <v>58.0</v>
      </c>
      <c r="C175" s="5" t="s">
        <v>178</v>
      </c>
      <c r="D175" s="6">
        <f>IFERROR(__xludf.DUMMYFUNCTION("COUNTA(SPLIT(TRIM(C175),"" ""))"),142.0)</f>
        <v>142</v>
      </c>
      <c r="E175" s="7">
        <f t="shared" si="1"/>
        <v>71</v>
      </c>
      <c r="F175" s="7" t="str">
        <f t="shared" si="2"/>
        <v>174.mp3</v>
      </c>
      <c r="G175" s="8" t="s">
        <v>8</v>
      </c>
    </row>
    <row r="176" ht="14.25" customHeight="1">
      <c r="A176" s="1">
        <v>175.0</v>
      </c>
      <c r="B176" s="1">
        <v>59.0</v>
      </c>
      <c r="C176" s="5" t="s">
        <v>179</v>
      </c>
      <c r="D176" s="6">
        <f>IFERROR(__xludf.DUMMYFUNCTION("COUNTA(SPLIT(TRIM(C176),"" ""))"),23.0)</f>
        <v>23</v>
      </c>
      <c r="E176" s="7">
        <f t="shared" si="1"/>
        <v>12</v>
      </c>
      <c r="F176" s="7" t="str">
        <f t="shared" si="2"/>
        <v>175.mp3</v>
      </c>
      <c r="G176" s="8" t="s">
        <v>8</v>
      </c>
    </row>
    <row r="177" ht="14.25" customHeight="1">
      <c r="A177" s="1">
        <v>176.0</v>
      </c>
      <c r="B177" s="1">
        <v>59.0</v>
      </c>
      <c r="C177" s="5" t="s">
        <v>180</v>
      </c>
      <c r="D177" s="6">
        <f>IFERROR(__xludf.DUMMYFUNCTION("COUNTA(SPLIT(TRIM(C177),"" ""))"),81.0)</f>
        <v>81</v>
      </c>
      <c r="E177" s="7">
        <f t="shared" si="1"/>
        <v>41</v>
      </c>
      <c r="F177" s="7" t="str">
        <f t="shared" si="2"/>
        <v>176.mp3</v>
      </c>
      <c r="G177" s="8" t="s">
        <v>8</v>
      </c>
    </row>
    <row r="178" ht="14.25" customHeight="1">
      <c r="A178" s="1">
        <v>177.0</v>
      </c>
      <c r="B178" s="1">
        <v>59.0</v>
      </c>
      <c r="C178" s="5" t="s">
        <v>181</v>
      </c>
      <c r="D178" s="6">
        <f>IFERROR(__xludf.DUMMYFUNCTION("COUNTA(SPLIT(TRIM(C178),"" ""))"),137.0)</f>
        <v>137</v>
      </c>
      <c r="E178" s="7">
        <f t="shared" si="1"/>
        <v>69</v>
      </c>
      <c r="F178" s="7" t="str">
        <f t="shared" si="2"/>
        <v>177.mp3</v>
      </c>
      <c r="G178" s="8" t="s">
        <v>8</v>
      </c>
    </row>
    <row r="179" ht="14.25" customHeight="1">
      <c r="A179" s="1">
        <v>178.0</v>
      </c>
      <c r="B179" s="1">
        <v>60.0</v>
      </c>
      <c r="C179" s="5" t="s">
        <v>182</v>
      </c>
      <c r="D179" s="6">
        <f>IFERROR(__xludf.DUMMYFUNCTION("COUNTA(SPLIT(TRIM(C179),"" ""))"),21.0)</f>
        <v>21</v>
      </c>
      <c r="E179" s="7">
        <f t="shared" si="1"/>
        <v>11</v>
      </c>
      <c r="F179" s="7" t="str">
        <f t="shared" si="2"/>
        <v>178.mp3</v>
      </c>
      <c r="G179" s="8" t="s">
        <v>8</v>
      </c>
    </row>
    <row r="180" ht="14.25" customHeight="1">
      <c r="A180" s="1">
        <v>179.0</v>
      </c>
      <c r="B180" s="1">
        <v>60.0</v>
      </c>
      <c r="C180" s="5" t="s">
        <v>183</v>
      </c>
      <c r="D180" s="6">
        <f>IFERROR(__xludf.DUMMYFUNCTION("COUNTA(SPLIT(TRIM(C180),"" ""))"),70.0)</f>
        <v>70</v>
      </c>
      <c r="E180" s="7">
        <f t="shared" si="1"/>
        <v>35</v>
      </c>
      <c r="F180" s="7" t="str">
        <f t="shared" si="2"/>
        <v>179.mp3</v>
      </c>
      <c r="G180" s="8" t="s">
        <v>8</v>
      </c>
    </row>
    <row r="181" ht="14.25" customHeight="1">
      <c r="A181" s="1">
        <v>180.0</v>
      </c>
      <c r="B181" s="1">
        <v>60.0</v>
      </c>
      <c r="C181" s="5" t="s">
        <v>184</v>
      </c>
      <c r="D181" s="6">
        <f>IFERROR(__xludf.DUMMYFUNCTION("COUNTA(SPLIT(TRIM(C181),"" ""))"),128.0)</f>
        <v>128</v>
      </c>
      <c r="E181" s="7">
        <f t="shared" si="1"/>
        <v>64</v>
      </c>
      <c r="F181" s="7" t="str">
        <f t="shared" si="2"/>
        <v>180.mp3</v>
      </c>
      <c r="G181" s="8" t="s">
        <v>8</v>
      </c>
    </row>
    <row r="182" ht="14.25" customHeight="1">
      <c r="A182" s="1">
        <v>181.0</v>
      </c>
      <c r="B182" s="1">
        <v>61.0</v>
      </c>
      <c r="C182" s="5" t="s">
        <v>185</v>
      </c>
      <c r="D182" s="6">
        <f>IFERROR(__xludf.DUMMYFUNCTION("COUNTA(SPLIT(TRIM(C182),"" ""))"),21.0)</f>
        <v>21</v>
      </c>
      <c r="E182" s="7">
        <f t="shared" si="1"/>
        <v>11</v>
      </c>
      <c r="F182" s="7" t="str">
        <f t="shared" si="2"/>
        <v>181.mp3</v>
      </c>
      <c r="G182" s="8" t="s">
        <v>8</v>
      </c>
    </row>
    <row r="183" ht="14.25" customHeight="1">
      <c r="A183" s="1">
        <v>182.0</v>
      </c>
      <c r="B183" s="1">
        <v>61.0</v>
      </c>
      <c r="C183" s="5" t="s">
        <v>186</v>
      </c>
      <c r="D183" s="6">
        <f>IFERROR(__xludf.DUMMYFUNCTION("COUNTA(SPLIT(TRIM(C183),"" ""))"),71.0)</f>
        <v>71</v>
      </c>
      <c r="E183" s="7">
        <f t="shared" si="1"/>
        <v>36</v>
      </c>
      <c r="F183" s="7" t="str">
        <f t="shared" si="2"/>
        <v>182.mp3</v>
      </c>
      <c r="G183" s="8" t="s">
        <v>8</v>
      </c>
    </row>
    <row r="184" ht="14.25" customHeight="1">
      <c r="A184" s="1">
        <v>183.0</v>
      </c>
      <c r="B184" s="1">
        <v>61.0</v>
      </c>
      <c r="C184" s="5" t="s">
        <v>187</v>
      </c>
      <c r="D184" s="6">
        <f>IFERROR(__xludf.DUMMYFUNCTION("COUNTA(SPLIT(TRIM(C184),"" ""))"),126.0)</f>
        <v>126</v>
      </c>
      <c r="E184" s="7">
        <f t="shared" si="1"/>
        <v>63</v>
      </c>
      <c r="F184" s="7" t="str">
        <f t="shared" si="2"/>
        <v>183.mp3</v>
      </c>
      <c r="G184" s="8" t="s">
        <v>8</v>
      </c>
    </row>
    <row r="185" ht="14.25" customHeight="1">
      <c r="A185" s="1">
        <v>184.0</v>
      </c>
      <c r="B185" s="1">
        <v>62.0</v>
      </c>
      <c r="C185" s="5" t="s">
        <v>188</v>
      </c>
      <c r="D185" s="6">
        <f>IFERROR(__xludf.DUMMYFUNCTION("COUNTA(SPLIT(TRIM(C185),"" ""))"),26.0)</f>
        <v>26</v>
      </c>
      <c r="E185" s="7">
        <f t="shared" si="1"/>
        <v>13</v>
      </c>
      <c r="F185" s="7" t="str">
        <f t="shared" si="2"/>
        <v>184.mp3</v>
      </c>
      <c r="G185" s="8" t="s">
        <v>8</v>
      </c>
    </row>
    <row r="186" ht="14.25" customHeight="1">
      <c r="A186" s="1">
        <v>185.0</v>
      </c>
      <c r="B186" s="1">
        <v>62.0</v>
      </c>
      <c r="C186" s="5" t="s">
        <v>189</v>
      </c>
      <c r="D186" s="6">
        <f>IFERROR(__xludf.DUMMYFUNCTION("COUNTA(SPLIT(TRIM(C186),"" ""))"),73.0)</f>
        <v>73</v>
      </c>
      <c r="E186" s="7">
        <f t="shared" si="1"/>
        <v>37</v>
      </c>
      <c r="F186" s="7" t="str">
        <f t="shared" si="2"/>
        <v>185.mp3</v>
      </c>
      <c r="G186" s="8" t="s">
        <v>8</v>
      </c>
    </row>
    <row r="187" ht="14.25" customHeight="1">
      <c r="A187" s="1">
        <v>186.0</v>
      </c>
      <c r="B187" s="1">
        <v>62.0</v>
      </c>
      <c r="C187" s="5" t="s">
        <v>190</v>
      </c>
      <c r="D187" s="6">
        <f>IFERROR(__xludf.DUMMYFUNCTION("COUNTA(SPLIT(TRIM(C187),"" ""))"),124.0)</f>
        <v>124</v>
      </c>
      <c r="E187" s="7">
        <f t="shared" si="1"/>
        <v>62</v>
      </c>
      <c r="F187" s="7" t="str">
        <f t="shared" si="2"/>
        <v>186.mp3</v>
      </c>
      <c r="G187" s="8" t="s">
        <v>8</v>
      </c>
    </row>
    <row r="188" ht="14.25" customHeight="1">
      <c r="A188" s="1">
        <v>187.0</v>
      </c>
      <c r="B188" s="1">
        <v>63.0</v>
      </c>
      <c r="C188" s="5" t="s">
        <v>191</v>
      </c>
      <c r="D188" s="6">
        <f>IFERROR(__xludf.DUMMYFUNCTION("COUNTA(SPLIT(TRIM(C188),"" ""))"),28.0)</f>
        <v>28</v>
      </c>
      <c r="E188" s="7">
        <f t="shared" si="1"/>
        <v>14</v>
      </c>
      <c r="F188" s="7" t="str">
        <f t="shared" si="2"/>
        <v>187.mp3</v>
      </c>
      <c r="G188" s="8" t="s">
        <v>8</v>
      </c>
    </row>
    <row r="189" ht="14.25" customHeight="1">
      <c r="A189" s="1">
        <v>188.0</v>
      </c>
      <c r="B189" s="1">
        <v>63.0</v>
      </c>
      <c r="C189" s="5" t="s">
        <v>192</v>
      </c>
      <c r="D189" s="6">
        <f>IFERROR(__xludf.DUMMYFUNCTION("COUNTA(SPLIT(TRIM(C189),"" ""))"),79.0)</f>
        <v>79</v>
      </c>
      <c r="E189" s="7">
        <f t="shared" si="1"/>
        <v>40</v>
      </c>
      <c r="F189" s="7" t="str">
        <f t="shared" si="2"/>
        <v>188.mp3</v>
      </c>
      <c r="G189" s="8" t="s">
        <v>8</v>
      </c>
    </row>
    <row r="190" ht="14.25" customHeight="1">
      <c r="A190" s="1">
        <v>189.0</v>
      </c>
      <c r="B190" s="1">
        <v>63.0</v>
      </c>
      <c r="C190" s="5" t="s">
        <v>193</v>
      </c>
      <c r="D190" s="6">
        <f>IFERROR(__xludf.DUMMYFUNCTION("COUNTA(SPLIT(TRIM(C190),"" ""))"),129.0)</f>
        <v>129</v>
      </c>
      <c r="E190" s="7">
        <f t="shared" si="1"/>
        <v>65</v>
      </c>
      <c r="F190" s="7" t="str">
        <f t="shared" si="2"/>
        <v>189.mp3</v>
      </c>
      <c r="G190" s="8" t="s">
        <v>8</v>
      </c>
    </row>
    <row r="191" ht="14.25" customHeight="1">
      <c r="A191" s="1">
        <v>190.0</v>
      </c>
      <c r="B191" s="1">
        <v>64.0</v>
      </c>
      <c r="C191" s="5" t="s">
        <v>194</v>
      </c>
      <c r="D191" s="6">
        <f>IFERROR(__xludf.DUMMYFUNCTION("COUNTA(SPLIT(TRIM(C191),"" ""))"),25.0)</f>
        <v>25</v>
      </c>
      <c r="E191" s="7">
        <f t="shared" si="1"/>
        <v>13</v>
      </c>
      <c r="F191" s="7" t="str">
        <f t="shared" si="2"/>
        <v>190.mp3</v>
      </c>
      <c r="G191" s="8" t="s">
        <v>8</v>
      </c>
    </row>
    <row r="192" ht="14.25" customHeight="1">
      <c r="A192" s="1">
        <v>191.0</v>
      </c>
      <c r="B192" s="1">
        <v>64.0</v>
      </c>
      <c r="C192" s="5" t="s">
        <v>195</v>
      </c>
      <c r="D192" s="6">
        <f>IFERROR(__xludf.DUMMYFUNCTION("COUNTA(SPLIT(TRIM(C192),"" ""))"),85.0)</f>
        <v>85</v>
      </c>
      <c r="E192" s="7">
        <f t="shared" si="1"/>
        <v>43</v>
      </c>
      <c r="F192" s="7" t="str">
        <f t="shared" si="2"/>
        <v>191.mp3</v>
      </c>
      <c r="G192" s="8" t="s">
        <v>8</v>
      </c>
    </row>
    <row r="193" ht="14.25" customHeight="1">
      <c r="A193" s="1">
        <v>192.0</v>
      </c>
      <c r="B193" s="1">
        <v>64.0</v>
      </c>
      <c r="C193" s="5" t="s">
        <v>196</v>
      </c>
      <c r="D193" s="6">
        <f>IFERROR(__xludf.DUMMYFUNCTION("COUNTA(SPLIT(TRIM(C193),"" ""))"),135.0)</f>
        <v>135</v>
      </c>
      <c r="E193" s="7">
        <f t="shared" si="1"/>
        <v>68</v>
      </c>
      <c r="F193" s="7" t="str">
        <f t="shared" si="2"/>
        <v>192.mp3</v>
      </c>
      <c r="G193" s="8" t="s">
        <v>8</v>
      </c>
    </row>
    <row r="194" ht="14.25" customHeight="1">
      <c r="A194" s="1">
        <v>193.0</v>
      </c>
      <c r="B194" s="1">
        <v>65.0</v>
      </c>
      <c r="C194" s="5" t="s">
        <v>197</v>
      </c>
      <c r="D194" s="6">
        <f>IFERROR(__xludf.DUMMYFUNCTION("COUNTA(SPLIT(TRIM(C194),"" ""))"),24.0)</f>
        <v>24</v>
      </c>
      <c r="E194" s="7">
        <f t="shared" si="1"/>
        <v>12</v>
      </c>
      <c r="F194" s="7" t="str">
        <f t="shared" si="2"/>
        <v>193.mp3</v>
      </c>
      <c r="G194" s="8" t="s">
        <v>8</v>
      </c>
    </row>
    <row r="195" ht="14.25" customHeight="1">
      <c r="A195" s="1">
        <v>194.0</v>
      </c>
      <c r="B195" s="1">
        <v>65.0</v>
      </c>
      <c r="C195" s="5" t="s">
        <v>198</v>
      </c>
      <c r="D195" s="6">
        <f>IFERROR(__xludf.DUMMYFUNCTION("COUNTA(SPLIT(TRIM(C195),"" ""))"),88.0)</f>
        <v>88</v>
      </c>
      <c r="E195" s="7">
        <f t="shared" si="1"/>
        <v>44</v>
      </c>
      <c r="F195" s="7" t="str">
        <f t="shared" si="2"/>
        <v>194.mp3</v>
      </c>
      <c r="G195" s="8" t="s">
        <v>8</v>
      </c>
    </row>
    <row r="196" ht="14.25" customHeight="1">
      <c r="A196" s="1">
        <v>195.0</v>
      </c>
      <c r="B196" s="1">
        <v>65.0</v>
      </c>
      <c r="C196" s="5" t="s">
        <v>199</v>
      </c>
      <c r="D196" s="6">
        <f>IFERROR(__xludf.DUMMYFUNCTION("COUNTA(SPLIT(TRIM(C196),"" ""))"),127.0)</f>
        <v>127</v>
      </c>
      <c r="E196" s="7">
        <f t="shared" si="1"/>
        <v>64</v>
      </c>
      <c r="F196" s="7" t="str">
        <f t="shared" si="2"/>
        <v>195.mp3</v>
      </c>
      <c r="G196" s="8" t="s">
        <v>8</v>
      </c>
    </row>
    <row r="197" ht="14.25" customHeight="1">
      <c r="A197" s="1">
        <v>196.0</v>
      </c>
      <c r="B197" s="1">
        <v>66.0</v>
      </c>
      <c r="C197" s="5" t="s">
        <v>200</v>
      </c>
      <c r="D197" s="6">
        <f>IFERROR(__xludf.DUMMYFUNCTION("COUNTA(SPLIT(TRIM(C197),"" ""))"),25.0)</f>
        <v>25</v>
      </c>
      <c r="E197" s="7">
        <f t="shared" si="1"/>
        <v>13</v>
      </c>
      <c r="F197" s="7" t="str">
        <f t="shared" si="2"/>
        <v>196.mp3</v>
      </c>
      <c r="G197" s="8" t="s">
        <v>8</v>
      </c>
    </row>
    <row r="198" ht="14.25" customHeight="1">
      <c r="A198" s="1">
        <v>197.0</v>
      </c>
      <c r="B198" s="1">
        <v>66.0</v>
      </c>
      <c r="C198" s="5" t="s">
        <v>201</v>
      </c>
      <c r="D198" s="6">
        <f>IFERROR(__xludf.DUMMYFUNCTION("COUNTA(SPLIT(TRIM(C198),"" ""))"),78.0)</f>
        <v>78</v>
      </c>
      <c r="E198" s="7">
        <f t="shared" si="1"/>
        <v>39</v>
      </c>
      <c r="F198" s="7" t="str">
        <f t="shared" si="2"/>
        <v>197.mp3</v>
      </c>
      <c r="G198" s="8" t="s">
        <v>8</v>
      </c>
    </row>
    <row r="199" ht="14.25" customHeight="1">
      <c r="A199" s="1">
        <v>198.0</v>
      </c>
      <c r="B199" s="1">
        <v>66.0</v>
      </c>
      <c r="C199" s="5" t="s">
        <v>202</v>
      </c>
      <c r="D199" s="6">
        <f>IFERROR(__xludf.DUMMYFUNCTION("COUNTA(SPLIT(TRIM(C199),"" ""))"),131.0)</f>
        <v>131</v>
      </c>
      <c r="E199" s="7">
        <f t="shared" si="1"/>
        <v>66</v>
      </c>
      <c r="F199" s="7" t="str">
        <f t="shared" si="2"/>
        <v>198.mp3</v>
      </c>
      <c r="G199" s="8" t="s">
        <v>8</v>
      </c>
    </row>
    <row r="200" ht="14.25" customHeight="1">
      <c r="A200" s="1">
        <v>199.0</v>
      </c>
      <c r="B200" s="1">
        <v>67.0</v>
      </c>
      <c r="C200" s="5" t="s">
        <v>203</v>
      </c>
      <c r="D200" s="6">
        <f>IFERROR(__xludf.DUMMYFUNCTION("COUNTA(SPLIT(TRIM(C200),"" ""))"),23.0)</f>
        <v>23</v>
      </c>
      <c r="E200" s="7">
        <f t="shared" si="1"/>
        <v>12</v>
      </c>
      <c r="F200" s="7" t="str">
        <f t="shared" si="2"/>
        <v>199.mp3</v>
      </c>
      <c r="G200" s="8" t="s">
        <v>8</v>
      </c>
    </row>
    <row r="201" ht="14.25" customHeight="1">
      <c r="A201" s="1">
        <v>200.0</v>
      </c>
      <c r="B201" s="1">
        <v>67.0</v>
      </c>
      <c r="C201" s="5" t="s">
        <v>204</v>
      </c>
      <c r="D201" s="6">
        <f>IFERROR(__xludf.DUMMYFUNCTION("COUNTA(SPLIT(TRIM(C201),"" ""))"),78.0)</f>
        <v>78</v>
      </c>
      <c r="E201" s="7">
        <f t="shared" si="1"/>
        <v>39</v>
      </c>
      <c r="F201" s="7" t="str">
        <f t="shared" si="2"/>
        <v>200.mp3</v>
      </c>
      <c r="G201" s="8" t="s">
        <v>8</v>
      </c>
    </row>
    <row r="202" ht="14.25" customHeight="1">
      <c r="A202" s="1">
        <v>201.0</v>
      </c>
      <c r="B202" s="1">
        <v>67.0</v>
      </c>
      <c r="C202" s="5" t="s">
        <v>205</v>
      </c>
      <c r="D202" s="6">
        <f>IFERROR(__xludf.DUMMYFUNCTION("COUNTA(SPLIT(TRIM(C202),"" ""))"),141.0)</f>
        <v>141</v>
      </c>
      <c r="E202" s="7">
        <f t="shared" si="1"/>
        <v>71</v>
      </c>
      <c r="F202" s="7" t="str">
        <f t="shared" si="2"/>
        <v>201.mp3</v>
      </c>
      <c r="G202" s="8" t="s">
        <v>8</v>
      </c>
    </row>
    <row r="203" ht="14.25" customHeight="1">
      <c r="A203" s="1">
        <v>202.0</v>
      </c>
      <c r="B203" s="1">
        <v>68.0</v>
      </c>
      <c r="C203" s="5" t="s">
        <v>206</v>
      </c>
      <c r="D203" s="6">
        <f>IFERROR(__xludf.DUMMYFUNCTION("COUNTA(SPLIT(TRIM(C203),"" ""))"),26.0)</f>
        <v>26</v>
      </c>
      <c r="E203" s="7">
        <f t="shared" si="1"/>
        <v>13</v>
      </c>
      <c r="F203" s="7" t="str">
        <f t="shared" si="2"/>
        <v>202.mp3</v>
      </c>
      <c r="G203" s="8" t="s">
        <v>8</v>
      </c>
    </row>
    <row r="204" ht="14.25" customHeight="1">
      <c r="A204" s="1">
        <v>203.0</v>
      </c>
      <c r="B204" s="1">
        <v>68.0</v>
      </c>
      <c r="C204" s="5" t="s">
        <v>207</v>
      </c>
      <c r="D204" s="6">
        <f>IFERROR(__xludf.DUMMYFUNCTION("COUNTA(SPLIT(TRIM(C204),"" ""))"),80.0)</f>
        <v>80</v>
      </c>
      <c r="E204" s="7">
        <f t="shared" si="1"/>
        <v>40</v>
      </c>
      <c r="F204" s="7" t="str">
        <f t="shared" si="2"/>
        <v>203.mp3</v>
      </c>
      <c r="G204" s="8" t="s">
        <v>8</v>
      </c>
    </row>
    <row r="205" ht="14.25" customHeight="1">
      <c r="A205" s="1">
        <v>204.0</v>
      </c>
      <c r="B205" s="1">
        <v>68.0</v>
      </c>
      <c r="C205" s="5" t="s">
        <v>208</v>
      </c>
      <c r="D205" s="6">
        <f>IFERROR(__xludf.DUMMYFUNCTION("COUNTA(SPLIT(TRIM(C205),"" ""))"),130.0)</f>
        <v>130</v>
      </c>
      <c r="E205" s="7">
        <f t="shared" si="1"/>
        <v>65</v>
      </c>
      <c r="F205" s="7" t="str">
        <f t="shared" si="2"/>
        <v>204.mp3</v>
      </c>
      <c r="G205" s="8" t="s">
        <v>8</v>
      </c>
    </row>
    <row r="206" ht="14.25" customHeight="1">
      <c r="A206" s="1">
        <v>205.0</v>
      </c>
      <c r="B206" s="1">
        <v>69.0</v>
      </c>
      <c r="C206" s="5" t="s">
        <v>209</v>
      </c>
      <c r="D206" s="6">
        <f>IFERROR(__xludf.DUMMYFUNCTION("COUNTA(SPLIT(TRIM(C206),"" ""))"),25.0)</f>
        <v>25</v>
      </c>
      <c r="E206" s="7">
        <f t="shared" si="1"/>
        <v>13</v>
      </c>
      <c r="F206" s="7" t="str">
        <f t="shared" si="2"/>
        <v>205.mp3</v>
      </c>
      <c r="G206" s="8" t="s">
        <v>8</v>
      </c>
    </row>
    <row r="207" ht="14.25" customHeight="1">
      <c r="A207" s="1">
        <v>206.0</v>
      </c>
      <c r="B207" s="1">
        <v>69.0</v>
      </c>
      <c r="C207" s="5" t="s">
        <v>210</v>
      </c>
      <c r="D207" s="6">
        <f>IFERROR(__xludf.DUMMYFUNCTION("COUNTA(SPLIT(TRIM(C207),"" ""))"),82.0)</f>
        <v>82</v>
      </c>
      <c r="E207" s="7">
        <f t="shared" si="1"/>
        <v>41</v>
      </c>
      <c r="F207" s="7" t="str">
        <f t="shared" si="2"/>
        <v>206.mp3</v>
      </c>
      <c r="G207" s="8" t="s">
        <v>8</v>
      </c>
    </row>
    <row r="208" ht="14.25" customHeight="1">
      <c r="A208" s="1">
        <v>207.0</v>
      </c>
      <c r="B208" s="1">
        <v>69.0</v>
      </c>
      <c r="C208" s="5" t="s">
        <v>211</v>
      </c>
      <c r="D208" s="6">
        <f>IFERROR(__xludf.DUMMYFUNCTION("COUNTA(SPLIT(TRIM(C208),"" ""))"),140.0)</f>
        <v>140</v>
      </c>
      <c r="E208" s="7">
        <f t="shared" si="1"/>
        <v>70</v>
      </c>
      <c r="F208" s="7" t="str">
        <f t="shared" si="2"/>
        <v>207.mp3</v>
      </c>
      <c r="G208" s="8" t="s">
        <v>8</v>
      </c>
    </row>
    <row r="209" ht="14.25" customHeight="1">
      <c r="A209" s="1">
        <v>208.0</v>
      </c>
      <c r="B209" s="1">
        <v>70.0</v>
      </c>
      <c r="C209" s="5" t="s">
        <v>212</v>
      </c>
      <c r="D209" s="6">
        <f>IFERROR(__xludf.DUMMYFUNCTION("COUNTA(SPLIT(TRIM(C209),"" ""))"),23.0)</f>
        <v>23</v>
      </c>
      <c r="E209" s="7">
        <f t="shared" si="1"/>
        <v>12</v>
      </c>
      <c r="F209" s="7" t="str">
        <f t="shared" si="2"/>
        <v>208.mp3</v>
      </c>
      <c r="G209" s="8" t="s">
        <v>8</v>
      </c>
    </row>
    <row r="210" ht="14.25" customHeight="1">
      <c r="A210" s="1">
        <v>209.0</v>
      </c>
      <c r="B210" s="1">
        <v>70.0</v>
      </c>
      <c r="C210" s="5" t="s">
        <v>213</v>
      </c>
      <c r="D210" s="6">
        <f>IFERROR(__xludf.DUMMYFUNCTION("COUNTA(SPLIT(TRIM(C210),"" ""))"),79.0)</f>
        <v>79</v>
      </c>
      <c r="E210" s="7">
        <f t="shared" si="1"/>
        <v>40</v>
      </c>
      <c r="F210" s="7" t="str">
        <f t="shared" si="2"/>
        <v>209.mp3</v>
      </c>
      <c r="G210" s="8" t="s">
        <v>8</v>
      </c>
    </row>
    <row r="211" ht="14.25" customHeight="1">
      <c r="A211" s="1">
        <v>210.0</v>
      </c>
      <c r="B211" s="1">
        <v>70.0</v>
      </c>
      <c r="C211" s="5" t="s">
        <v>214</v>
      </c>
      <c r="D211" s="6">
        <f>IFERROR(__xludf.DUMMYFUNCTION("COUNTA(SPLIT(TRIM(C211),"" ""))"),114.0)</f>
        <v>114</v>
      </c>
      <c r="E211" s="7">
        <f t="shared" si="1"/>
        <v>57</v>
      </c>
      <c r="F211" s="7" t="str">
        <f t="shared" si="2"/>
        <v>210.mp3</v>
      </c>
      <c r="G211" s="8" t="s">
        <v>8</v>
      </c>
    </row>
    <row r="212" ht="14.25" customHeight="1">
      <c r="A212" s="1">
        <v>211.0</v>
      </c>
      <c r="B212" s="1">
        <v>71.0</v>
      </c>
      <c r="C212" s="5" t="s">
        <v>215</v>
      </c>
      <c r="D212" s="6">
        <f>IFERROR(__xludf.DUMMYFUNCTION("COUNTA(SPLIT(TRIM(C212),"" ""))"),24.0)</f>
        <v>24</v>
      </c>
      <c r="E212" s="7">
        <f t="shared" si="1"/>
        <v>12</v>
      </c>
      <c r="F212" s="7" t="str">
        <f t="shared" si="2"/>
        <v>211.mp3</v>
      </c>
      <c r="G212" s="8" t="s">
        <v>8</v>
      </c>
    </row>
    <row r="213" ht="14.25" customHeight="1">
      <c r="A213" s="1">
        <v>212.0</v>
      </c>
      <c r="B213" s="1">
        <v>71.0</v>
      </c>
      <c r="C213" s="5" t="s">
        <v>216</v>
      </c>
      <c r="D213" s="6">
        <f>IFERROR(__xludf.DUMMYFUNCTION("COUNTA(SPLIT(TRIM(C213),"" ""))"),79.0)</f>
        <v>79</v>
      </c>
      <c r="E213" s="7">
        <f t="shared" si="1"/>
        <v>40</v>
      </c>
      <c r="F213" s="7" t="str">
        <f t="shared" si="2"/>
        <v>212.mp3</v>
      </c>
      <c r="G213" s="8" t="s">
        <v>8</v>
      </c>
    </row>
    <row r="214" ht="14.25" customHeight="1">
      <c r="A214" s="1">
        <v>213.0</v>
      </c>
      <c r="B214" s="1">
        <v>71.0</v>
      </c>
      <c r="C214" s="5" t="s">
        <v>217</v>
      </c>
      <c r="D214" s="6">
        <f>IFERROR(__xludf.DUMMYFUNCTION("COUNTA(SPLIT(TRIM(C214),"" ""))"),133.0)</f>
        <v>133</v>
      </c>
      <c r="E214" s="7">
        <f t="shared" si="1"/>
        <v>67</v>
      </c>
      <c r="F214" s="7" t="str">
        <f t="shared" si="2"/>
        <v>213.mp3</v>
      </c>
      <c r="G214" s="8" t="s">
        <v>8</v>
      </c>
    </row>
    <row r="215" ht="14.25" customHeight="1">
      <c r="A215" s="1">
        <v>214.0</v>
      </c>
      <c r="B215" s="1">
        <v>72.0</v>
      </c>
      <c r="C215" s="5" t="s">
        <v>218</v>
      </c>
      <c r="D215" s="6">
        <f>IFERROR(__xludf.DUMMYFUNCTION("COUNTA(SPLIT(TRIM(C215),"" ""))"),27.0)</f>
        <v>27</v>
      </c>
      <c r="E215" s="7">
        <f t="shared" si="1"/>
        <v>14</v>
      </c>
      <c r="F215" s="7" t="str">
        <f t="shared" si="2"/>
        <v>214.mp3</v>
      </c>
      <c r="G215" s="8" t="s">
        <v>8</v>
      </c>
    </row>
    <row r="216" ht="14.25" customHeight="1">
      <c r="A216" s="1">
        <v>215.0</v>
      </c>
      <c r="B216" s="1">
        <v>72.0</v>
      </c>
      <c r="C216" s="5" t="s">
        <v>219</v>
      </c>
      <c r="D216" s="6">
        <f>IFERROR(__xludf.DUMMYFUNCTION("COUNTA(SPLIT(TRIM(C216),"" ""))"),84.0)</f>
        <v>84</v>
      </c>
      <c r="E216" s="7">
        <f t="shared" si="1"/>
        <v>42</v>
      </c>
      <c r="F216" s="7" t="str">
        <f t="shared" si="2"/>
        <v>215.mp3</v>
      </c>
      <c r="G216" s="8" t="s">
        <v>8</v>
      </c>
    </row>
    <row r="217" ht="14.25" customHeight="1">
      <c r="A217" s="1">
        <v>216.0</v>
      </c>
      <c r="B217" s="1">
        <v>72.0</v>
      </c>
      <c r="C217" s="5" t="s">
        <v>220</v>
      </c>
      <c r="D217" s="6">
        <f>IFERROR(__xludf.DUMMYFUNCTION("COUNTA(SPLIT(TRIM(C217),"" ""))"),130.0)</f>
        <v>130</v>
      </c>
      <c r="E217" s="7">
        <f t="shared" si="1"/>
        <v>65</v>
      </c>
      <c r="F217" s="7" t="str">
        <f t="shared" si="2"/>
        <v>216.mp3</v>
      </c>
      <c r="G217" s="8" t="s">
        <v>8</v>
      </c>
    </row>
    <row r="218" ht="14.25" customHeight="1">
      <c r="A218" s="1">
        <v>217.0</v>
      </c>
      <c r="B218" s="1">
        <v>73.0</v>
      </c>
      <c r="C218" s="5" t="s">
        <v>221</v>
      </c>
      <c r="D218" s="6">
        <f>IFERROR(__xludf.DUMMYFUNCTION("COUNTA(SPLIT(TRIM(C218),"" ""))"),22.0)</f>
        <v>22</v>
      </c>
      <c r="E218" s="7">
        <f t="shared" si="1"/>
        <v>11</v>
      </c>
      <c r="F218" s="7" t="str">
        <f t="shared" si="2"/>
        <v>217.mp3</v>
      </c>
      <c r="G218" s="8" t="s">
        <v>8</v>
      </c>
    </row>
    <row r="219" ht="14.25" customHeight="1">
      <c r="A219" s="1">
        <v>218.0</v>
      </c>
      <c r="B219" s="1">
        <v>73.0</v>
      </c>
      <c r="C219" s="5" t="s">
        <v>222</v>
      </c>
      <c r="D219" s="6">
        <f>IFERROR(__xludf.DUMMYFUNCTION("COUNTA(SPLIT(TRIM(C219),"" ""))"),84.0)</f>
        <v>84</v>
      </c>
      <c r="E219" s="7">
        <f t="shared" si="1"/>
        <v>42</v>
      </c>
      <c r="F219" s="7" t="str">
        <f t="shared" si="2"/>
        <v>218.mp3</v>
      </c>
      <c r="G219" s="8" t="s">
        <v>8</v>
      </c>
    </row>
    <row r="220" ht="14.25" customHeight="1">
      <c r="A220" s="1">
        <v>219.0</v>
      </c>
      <c r="B220" s="1">
        <v>73.0</v>
      </c>
      <c r="C220" s="5" t="s">
        <v>223</v>
      </c>
      <c r="D220" s="6">
        <f>IFERROR(__xludf.DUMMYFUNCTION("COUNTA(SPLIT(TRIM(C220),"" ""))"),122.0)</f>
        <v>122</v>
      </c>
      <c r="E220" s="7">
        <f t="shared" si="1"/>
        <v>61</v>
      </c>
      <c r="F220" s="7" t="str">
        <f t="shared" si="2"/>
        <v>219.mp3</v>
      </c>
      <c r="G220" s="8" t="s">
        <v>8</v>
      </c>
    </row>
    <row r="221" ht="14.25" customHeight="1">
      <c r="A221" s="1">
        <v>220.0</v>
      </c>
      <c r="B221" s="1">
        <v>74.0</v>
      </c>
      <c r="C221" s="5" t="s">
        <v>224</v>
      </c>
      <c r="D221" s="6">
        <f>IFERROR(__xludf.DUMMYFUNCTION("COUNTA(SPLIT(TRIM(C221),"" ""))"),22.0)</f>
        <v>22</v>
      </c>
      <c r="E221" s="7">
        <f t="shared" si="1"/>
        <v>11</v>
      </c>
      <c r="F221" s="7" t="str">
        <f t="shared" si="2"/>
        <v>220.mp3</v>
      </c>
      <c r="G221" s="8" t="s">
        <v>8</v>
      </c>
    </row>
    <row r="222" ht="14.25" customHeight="1">
      <c r="A222" s="1">
        <v>221.0</v>
      </c>
      <c r="B222" s="1">
        <v>74.0</v>
      </c>
      <c r="C222" s="5" t="s">
        <v>225</v>
      </c>
      <c r="D222" s="6">
        <f>IFERROR(__xludf.DUMMYFUNCTION("COUNTA(SPLIT(TRIM(C222),"" ""))"),78.0)</f>
        <v>78</v>
      </c>
      <c r="E222" s="7">
        <f t="shared" si="1"/>
        <v>39</v>
      </c>
      <c r="F222" s="7" t="str">
        <f t="shared" si="2"/>
        <v>221.mp3</v>
      </c>
      <c r="G222" s="8" t="s">
        <v>8</v>
      </c>
    </row>
    <row r="223" ht="14.25" customHeight="1">
      <c r="A223" s="1">
        <v>222.0</v>
      </c>
      <c r="B223" s="1">
        <v>74.0</v>
      </c>
      <c r="C223" s="5" t="s">
        <v>226</v>
      </c>
      <c r="D223" s="6">
        <f>IFERROR(__xludf.DUMMYFUNCTION("COUNTA(SPLIT(TRIM(C223),"" ""))"),138.0)</f>
        <v>138</v>
      </c>
      <c r="E223" s="7">
        <f t="shared" si="1"/>
        <v>69</v>
      </c>
      <c r="F223" s="7" t="str">
        <f t="shared" si="2"/>
        <v>222.mp3</v>
      </c>
      <c r="G223" s="8" t="s">
        <v>8</v>
      </c>
    </row>
    <row r="224" ht="14.25" customHeight="1">
      <c r="A224" s="1">
        <v>223.0</v>
      </c>
      <c r="B224" s="1">
        <v>75.0</v>
      </c>
      <c r="C224" s="5" t="s">
        <v>227</v>
      </c>
      <c r="D224" s="6">
        <f>IFERROR(__xludf.DUMMYFUNCTION("COUNTA(SPLIT(TRIM(C224),"" ""))"),25.0)</f>
        <v>25</v>
      </c>
      <c r="E224" s="7">
        <f t="shared" si="1"/>
        <v>13</v>
      </c>
      <c r="F224" s="7" t="str">
        <f t="shared" si="2"/>
        <v>223.mp3</v>
      </c>
      <c r="G224" s="8" t="s">
        <v>8</v>
      </c>
    </row>
    <row r="225" ht="14.25" customHeight="1">
      <c r="A225" s="1">
        <v>224.0</v>
      </c>
      <c r="B225" s="1">
        <v>75.0</v>
      </c>
      <c r="C225" s="5" t="s">
        <v>228</v>
      </c>
      <c r="D225" s="6">
        <f>IFERROR(__xludf.DUMMYFUNCTION("COUNTA(SPLIT(TRIM(C225),"" ""))"),84.0)</f>
        <v>84</v>
      </c>
      <c r="E225" s="7">
        <f t="shared" si="1"/>
        <v>42</v>
      </c>
      <c r="F225" s="7" t="str">
        <f t="shared" si="2"/>
        <v>224.mp3</v>
      </c>
      <c r="G225" s="8" t="s">
        <v>8</v>
      </c>
    </row>
    <row r="226" ht="14.25" customHeight="1">
      <c r="A226" s="1">
        <v>225.0</v>
      </c>
      <c r="B226" s="1">
        <v>75.0</v>
      </c>
      <c r="C226" s="5" t="s">
        <v>229</v>
      </c>
      <c r="D226" s="6">
        <f>IFERROR(__xludf.DUMMYFUNCTION("COUNTA(SPLIT(TRIM(C226),"" ""))"),128.0)</f>
        <v>128</v>
      </c>
      <c r="E226" s="7">
        <f t="shared" si="1"/>
        <v>64</v>
      </c>
      <c r="F226" s="7" t="str">
        <f t="shared" si="2"/>
        <v>225.mp3</v>
      </c>
      <c r="G226" s="8" t="s">
        <v>8</v>
      </c>
    </row>
    <row r="227" ht="14.25" customHeight="1">
      <c r="A227" s="1">
        <v>226.0</v>
      </c>
      <c r="B227" s="1">
        <v>76.0</v>
      </c>
      <c r="C227" s="5" t="s">
        <v>230</v>
      </c>
      <c r="D227" s="6">
        <f>IFERROR(__xludf.DUMMYFUNCTION("COUNTA(SPLIT(TRIM(C227),"" ""))"),23.0)</f>
        <v>23</v>
      </c>
      <c r="E227" s="7">
        <f t="shared" si="1"/>
        <v>12</v>
      </c>
      <c r="F227" s="7" t="str">
        <f t="shared" si="2"/>
        <v>226.mp3</v>
      </c>
      <c r="G227" s="8" t="s">
        <v>8</v>
      </c>
    </row>
    <row r="228" ht="14.25" customHeight="1">
      <c r="A228" s="1">
        <v>227.0</v>
      </c>
      <c r="B228" s="1">
        <v>76.0</v>
      </c>
      <c r="C228" s="5" t="s">
        <v>231</v>
      </c>
      <c r="D228" s="6">
        <f>IFERROR(__xludf.DUMMYFUNCTION("COUNTA(SPLIT(TRIM(C228),"" ""))"),80.0)</f>
        <v>80</v>
      </c>
      <c r="E228" s="7">
        <f t="shared" si="1"/>
        <v>40</v>
      </c>
      <c r="F228" s="7" t="str">
        <f t="shared" si="2"/>
        <v>227.mp3</v>
      </c>
      <c r="G228" s="8" t="s">
        <v>8</v>
      </c>
    </row>
    <row r="229" ht="14.25" customHeight="1">
      <c r="A229" s="1">
        <v>228.0</v>
      </c>
      <c r="B229" s="1">
        <v>76.0</v>
      </c>
      <c r="C229" s="5" t="s">
        <v>232</v>
      </c>
      <c r="D229" s="6">
        <f>IFERROR(__xludf.DUMMYFUNCTION("COUNTA(SPLIT(TRIM(C229),"" ""))"),125.0)</f>
        <v>125</v>
      </c>
      <c r="E229" s="7">
        <f t="shared" si="1"/>
        <v>63</v>
      </c>
      <c r="F229" s="7" t="str">
        <f t="shared" si="2"/>
        <v>228.mp3</v>
      </c>
      <c r="G229" s="8" t="s">
        <v>8</v>
      </c>
    </row>
    <row r="230" ht="14.25" customHeight="1">
      <c r="A230" s="1">
        <v>229.0</v>
      </c>
      <c r="B230" s="1">
        <v>77.0</v>
      </c>
      <c r="C230" s="5" t="s">
        <v>233</v>
      </c>
      <c r="D230" s="6">
        <f>IFERROR(__xludf.DUMMYFUNCTION("COUNTA(SPLIT(TRIM(C230),"" ""))"),26.0)</f>
        <v>26</v>
      </c>
      <c r="E230" s="7">
        <f t="shared" si="1"/>
        <v>13</v>
      </c>
      <c r="F230" s="7" t="str">
        <f t="shared" si="2"/>
        <v>229.mp3</v>
      </c>
      <c r="G230" s="8" t="s">
        <v>8</v>
      </c>
    </row>
    <row r="231" ht="14.25" customHeight="1">
      <c r="A231" s="1">
        <v>230.0</v>
      </c>
      <c r="B231" s="1">
        <v>77.0</v>
      </c>
      <c r="C231" s="5" t="s">
        <v>234</v>
      </c>
      <c r="D231" s="6">
        <f>IFERROR(__xludf.DUMMYFUNCTION("COUNTA(SPLIT(TRIM(C231),"" ""))"),76.0)</f>
        <v>76</v>
      </c>
      <c r="E231" s="7">
        <f t="shared" si="1"/>
        <v>38</v>
      </c>
      <c r="F231" s="7" t="str">
        <f t="shared" si="2"/>
        <v>230.mp3</v>
      </c>
      <c r="G231" s="8" t="s">
        <v>8</v>
      </c>
    </row>
    <row r="232" ht="14.25" customHeight="1">
      <c r="A232" s="1">
        <v>231.0</v>
      </c>
      <c r="B232" s="1">
        <v>77.0</v>
      </c>
      <c r="C232" s="5" t="s">
        <v>235</v>
      </c>
      <c r="D232" s="6">
        <f>IFERROR(__xludf.DUMMYFUNCTION("COUNTA(SPLIT(TRIM(C232),"" ""))"),128.0)</f>
        <v>128</v>
      </c>
      <c r="E232" s="7">
        <f t="shared" si="1"/>
        <v>64</v>
      </c>
      <c r="F232" s="7" t="str">
        <f t="shared" si="2"/>
        <v>231.mp3</v>
      </c>
      <c r="G232" s="8" t="s">
        <v>8</v>
      </c>
    </row>
    <row r="233" ht="14.25" customHeight="1">
      <c r="A233" s="1">
        <v>232.0</v>
      </c>
      <c r="B233" s="1">
        <v>78.0</v>
      </c>
      <c r="C233" s="5" t="s">
        <v>236</v>
      </c>
      <c r="D233" s="6">
        <f>IFERROR(__xludf.DUMMYFUNCTION("COUNTA(SPLIT(TRIM(C233),"" ""))"),27.0)</f>
        <v>27</v>
      </c>
      <c r="E233" s="7">
        <f t="shared" si="1"/>
        <v>14</v>
      </c>
      <c r="F233" s="7" t="str">
        <f t="shared" si="2"/>
        <v>232.mp3</v>
      </c>
      <c r="G233" s="8" t="s">
        <v>8</v>
      </c>
    </row>
    <row r="234" ht="14.25" customHeight="1">
      <c r="A234" s="1">
        <v>233.0</v>
      </c>
      <c r="B234" s="1">
        <v>78.0</v>
      </c>
      <c r="C234" s="5" t="s">
        <v>237</v>
      </c>
      <c r="D234" s="6">
        <f>IFERROR(__xludf.DUMMYFUNCTION("COUNTA(SPLIT(TRIM(C234),"" ""))"),87.0)</f>
        <v>87</v>
      </c>
      <c r="E234" s="7">
        <f t="shared" si="1"/>
        <v>44</v>
      </c>
      <c r="F234" s="7" t="str">
        <f t="shared" si="2"/>
        <v>233.mp3</v>
      </c>
      <c r="G234" s="8" t="s">
        <v>8</v>
      </c>
    </row>
    <row r="235" ht="14.25" customHeight="1">
      <c r="A235" s="1">
        <v>234.0</v>
      </c>
      <c r="B235" s="1">
        <v>78.0</v>
      </c>
      <c r="C235" s="5" t="s">
        <v>238</v>
      </c>
      <c r="D235" s="6">
        <f>IFERROR(__xludf.DUMMYFUNCTION("COUNTA(SPLIT(TRIM(C235),"" ""))"),130.0)</f>
        <v>130</v>
      </c>
      <c r="E235" s="7">
        <f t="shared" si="1"/>
        <v>65</v>
      </c>
      <c r="F235" s="7" t="str">
        <f t="shared" si="2"/>
        <v>234.mp3</v>
      </c>
      <c r="G235" s="8" t="s">
        <v>8</v>
      </c>
    </row>
    <row r="236" ht="14.25" customHeight="1">
      <c r="A236" s="1">
        <v>235.0</v>
      </c>
      <c r="B236" s="1">
        <v>79.0</v>
      </c>
      <c r="C236" s="5" t="s">
        <v>239</v>
      </c>
      <c r="D236" s="6">
        <f>IFERROR(__xludf.DUMMYFUNCTION("COUNTA(SPLIT(TRIM(C236),"" ""))"),22.0)</f>
        <v>22</v>
      </c>
      <c r="E236" s="7">
        <f t="shared" si="1"/>
        <v>11</v>
      </c>
      <c r="F236" s="7" t="str">
        <f t="shared" si="2"/>
        <v>235.mp3</v>
      </c>
      <c r="G236" s="8" t="s">
        <v>8</v>
      </c>
    </row>
    <row r="237" ht="14.25" customHeight="1">
      <c r="A237" s="1">
        <v>236.0</v>
      </c>
      <c r="B237" s="1">
        <v>79.0</v>
      </c>
      <c r="C237" s="5" t="s">
        <v>240</v>
      </c>
      <c r="D237" s="6">
        <f>IFERROR(__xludf.DUMMYFUNCTION("COUNTA(SPLIT(TRIM(C237),"" ""))"),83.0)</f>
        <v>83</v>
      </c>
      <c r="E237" s="7">
        <f t="shared" si="1"/>
        <v>42</v>
      </c>
      <c r="F237" s="7" t="str">
        <f t="shared" si="2"/>
        <v>236.mp3</v>
      </c>
      <c r="G237" s="8" t="s">
        <v>8</v>
      </c>
    </row>
    <row r="238" ht="14.25" customHeight="1">
      <c r="A238" s="1">
        <v>237.0</v>
      </c>
      <c r="B238" s="1">
        <v>79.0</v>
      </c>
      <c r="C238" s="5" t="s">
        <v>241</v>
      </c>
      <c r="D238" s="6">
        <f>IFERROR(__xludf.DUMMYFUNCTION("COUNTA(SPLIT(TRIM(C238),"" ""))"),131.0)</f>
        <v>131</v>
      </c>
      <c r="E238" s="7">
        <f t="shared" si="1"/>
        <v>66</v>
      </c>
      <c r="F238" s="7" t="str">
        <f t="shared" si="2"/>
        <v>237.mp3</v>
      </c>
      <c r="G238" s="8" t="s">
        <v>8</v>
      </c>
    </row>
    <row r="239" ht="14.25" customHeight="1">
      <c r="A239" s="1">
        <v>238.0</v>
      </c>
      <c r="B239" s="1">
        <v>80.0</v>
      </c>
      <c r="C239" s="5" t="s">
        <v>242</v>
      </c>
      <c r="D239" s="6">
        <f>IFERROR(__xludf.DUMMYFUNCTION("COUNTA(SPLIT(TRIM(C239),"" ""))"),26.0)</f>
        <v>26</v>
      </c>
      <c r="E239" s="7">
        <f t="shared" si="1"/>
        <v>13</v>
      </c>
      <c r="F239" s="7" t="str">
        <f t="shared" si="2"/>
        <v>238.mp3</v>
      </c>
      <c r="G239" s="8" t="s">
        <v>8</v>
      </c>
    </row>
    <row r="240" ht="14.25" customHeight="1">
      <c r="A240" s="1">
        <v>239.0</v>
      </c>
      <c r="B240" s="1">
        <v>80.0</v>
      </c>
      <c r="C240" s="5" t="s">
        <v>243</v>
      </c>
      <c r="D240" s="6">
        <f>IFERROR(__xludf.DUMMYFUNCTION("COUNTA(SPLIT(TRIM(C240),"" ""))"),71.0)</f>
        <v>71</v>
      </c>
      <c r="E240" s="7">
        <f t="shared" si="1"/>
        <v>36</v>
      </c>
      <c r="F240" s="7" t="str">
        <f t="shared" si="2"/>
        <v>239.mp3</v>
      </c>
      <c r="G240" s="8" t="s">
        <v>8</v>
      </c>
    </row>
    <row r="241" ht="14.25" customHeight="1">
      <c r="A241" s="1">
        <v>240.0</v>
      </c>
      <c r="B241" s="1">
        <v>80.0</v>
      </c>
      <c r="C241" s="5" t="s">
        <v>244</v>
      </c>
      <c r="D241" s="6">
        <f>IFERROR(__xludf.DUMMYFUNCTION("COUNTA(SPLIT(TRIM(C241),"" ""))"),116.0)</f>
        <v>116</v>
      </c>
      <c r="E241" s="7">
        <f t="shared" si="1"/>
        <v>58</v>
      </c>
      <c r="F241" s="7" t="str">
        <f t="shared" si="2"/>
        <v>240.mp3</v>
      </c>
      <c r="G241" s="8" t="s">
        <v>8</v>
      </c>
    </row>
    <row r="242" ht="14.25" customHeight="1">
      <c r="A242" s="1">
        <v>241.0</v>
      </c>
      <c r="B242" s="1">
        <v>81.0</v>
      </c>
      <c r="C242" s="5" t="s">
        <v>245</v>
      </c>
      <c r="D242" s="6">
        <f>IFERROR(__xludf.DUMMYFUNCTION("COUNTA(SPLIT(TRIM(C242),"" ""))"),28.0)</f>
        <v>28</v>
      </c>
      <c r="E242" s="7">
        <f t="shared" si="1"/>
        <v>14</v>
      </c>
      <c r="F242" s="7" t="str">
        <f t="shared" si="2"/>
        <v>241.mp3</v>
      </c>
      <c r="G242" s="8" t="s">
        <v>8</v>
      </c>
    </row>
    <row r="243" ht="14.25" customHeight="1">
      <c r="A243" s="1">
        <v>242.0</v>
      </c>
      <c r="B243" s="1">
        <v>81.0</v>
      </c>
      <c r="C243" s="5" t="s">
        <v>246</v>
      </c>
      <c r="D243" s="6">
        <f>IFERROR(__xludf.DUMMYFUNCTION("COUNTA(SPLIT(TRIM(C243),"" ""))"),78.0)</f>
        <v>78</v>
      </c>
      <c r="E243" s="7">
        <f t="shared" si="1"/>
        <v>39</v>
      </c>
      <c r="F243" s="7" t="str">
        <f t="shared" si="2"/>
        <v>242.mp3</v>
      </c>
      <c r="G243" s="8" t="s">
        <v>8</v>
      </c>
    </row>
    <row r="244" ht="14.25" customHeight="1">
      <c r="A244" s="1">
        <v>243.0</v>
      </c>
      <c r="B244" s="1">
        <v>81.0</v>
      </c>
      <c r="C244" s="5" t="s">
        <v>247</v>
      </c>
      <c r="D244" s="6">
        <f>IFERROR(__xludf.DUMMYFUNCTION("COUNTA(SPLIT(TRIM(C244),"" ""))"),117.0)</f>
        <v>117</v>
      </c>
      <c r="E244" s="7">
        <f t="shared" si="1"/>
        <v>59</v>
      </c>
      <c r="F244" s="7" t="str">
        <f t="shared" si="2"/>
        <v>243.mp3</v>
      </c>
      <c r="G244" s="8" t="s">
        <v>8</v>
      </c>
    </row>
    <row r="245" ht="14.25" customHeight="1">
      <c r="A245" s="1">
        <v>244.0</v>
      </c>
      <c r="B245" s="1">
        <v>82.0</v>
      </c>
      <c r="C245" s="5" t="s">
        <v>248</v>
      </c>
      <c r="D245" s="6">
        <f>IFERROR(__xludf.DUMMYFUNCTION("COUNTA(SPLIT(TRIM(C245),"" ""))"),26.0)</f>
        <v>26</v>
      </c>
      <c r="E245" s="7">
        <f t="shared" si="1"/>
        <v>13</v>
      </c>
      <c r="F245" s="7" t="str">
        <f t="shared" si="2"/>
        <v>244.mp3</v>
      </c>
      <c r="G245" s="8" t="s">
        <v>8</v>
      </c>
    </row>
    <row r="246" ht="14.25" customHeight="1">
      <c r="A246" s="1">
        <v>245.0</v>
      </c>
      <c r="B246" s="1">
        <v>82.0</v>
      </c>
      <c r="C246" s="5" t="s">
        <v>249</v>
      </c>
      <c r="D246" s="6">
        <f>IFERROR(__xludf.DUMMYFUNCTION("COUNTA(SPLIT(TRIM(C246),"" ""))"),86.0)</f>
        <v>86</v>
      </c>
      <c r="E246" s="7">
        <f t="shared" si="1"/>
        <v>43</v>
      </c>
      <c r="F246" s="7" t="str">
        <f t="shared" si="2"/>
        <v>245.mp3</v>
      </c>
      <c r="G246" s="8" t="s">
        <v>8</v>
      </c>
    </row>
    <row r="247" ht="14.25" customHeight="1">
      <c r="A247" s="1">
        <v>246.0</v>
      </c>
      <c r="B247" s="1">
        <v>82.0</v>
      </c>
      <c r="C247" s="5" t="s">
        <v>250</v>
      </c>
      <c r="D247" s="6">
        <f>IFERROR(__xludf.DUMMYFUNCTION("COUNTA(SPLIT(TRIM(C247),"" ""))"),136.0)</f>
        <v>136</v>
      </c>
      <c r="E247" s="7">
        <f t="shared" si="1"/>
        <v>68</v>
      </c>
      <c r="F247" s="7" t="str">
        <f t="shared" si="2"/>
        <v>246.mp3</v>
      </c>
      <c r="G247" s="8" t="s">
        <v>8</v>
      </c>
    </row>
    <row r="248" ht="14.25" customHeight="1">
      <c r="A248" s="1">
        <v>247.0</v>
      </c>
      <c r="B248" s="1">
        <v>83.0</v>
      </c>
      <c r="C248" s="5" t="s">
        <v>251</v>
      </c>
      <c r="D248" s="6">
        <f>IFERROR(__xludf.DUMMYFUNCTION("COUNTA(SPLIT(TRIM(C248),"" ""))"),23.0)</f>
        <v>23</v>
      </c>
      <c r="E248" s="7">
        <f t="shared" si="1"/>
        <v>12</v>
      </c>
      <c r="F248" s="7" t="str">
        <f t="shared" si="2"/>
        <v>247.mp3</v>
      </c>
      <c r="G248" s="8" t="s">
        <v>8</v>
      </c>
    </row>
    <row r="249" ht="14.25" customHeight="1">
      <c r="A249" s="1">
        <v>248.0</v>
      </c>
      <c r="B249" s="1">
        <v>83.0</v>
      </c>
      <c r="C249" s="5" t="s">
        <v>252</v>
      </c>
      <c r="D249" s="6">
        <f>IFERROR(__xludf.DUMMYFUNCTION("COUNTA(SPLIT(TRIM(C249),"" ""))"),86.0)</f>
        <v>86</v>
      </c>
      <c r="E249" s="7">
        <f t="shared" si="1"/>
        <v>43</v>
      </c>
      <c r="F249" s="7" t="str">
        <f t="shared" si="2"/>
        <v>248.mp3</v>
      </c>
      <c r="G249" s="8" t="s">
        <v>8</v>
      </c>
    </row>
    <row r="250" ht="14.25" customHeight="1">
      <c r="A250" s="1">
        <v>249.0</v>
      </c>
      <c r="B250" s="1">
        <v>83.0</v>
      </c>
      <c r="C250" s="5" t="s">
        <v>253</v>
      </c>
      <c r="D250" s="6">
        <f>IFERROR(__xludf.DUMMYFUNCTION("COUNTA(SPLIT(TRIM(C250),"" ""))"),137.0)</f>
        <v>137</v>
      </c>
      <c r="E250" s="7">
        <f t="shared" si="1"/>
        <v>69</v>
      </c>
      <c r="F250" s="7" t="str">
        <f t="shared" si="2"/>
        <v>249.mp3</v>
      </c>
      <c r="G250" s="8" t="s">
        <v>8</v>
      </c>
    </row>
    <row r="251" ht="14.25" customHeight="1">
      <c r="A251" s="1">
        <v>250.0</v>
      </c>
      <c r="B251" s="1">
        <v>84.0</v>
      </c>
      <c r="C251" s="5" t="s">
        <v>254</v>
      </c>
      <c r="D251" s="6">
        <f>IFERROR(__xludf.DUMMYFUNCTION("COUNTA(SPLIT(TRIM(C251),"" ""))"),23.0)</f>
        <v>23</v>
      </c>
      <c r="E251" s="7">
        <f t="shared" si="1"/>
        <v>12</v>
      </c>
      <c r="F251" s="7" t="str">
        <f t="shared" si="2"/>
        <v>250.mp3</v>
      </c>
      <c r="G251" s="8" t="s">
        <v>8</v>
      </c>
    </row>
    <row r="252" ht="14.25" customHeight="1">
      <c r="A252" s="1">
        <v>251.0</v>
      </c>
      <c r="B252" s="1">
        <v>84.0</v>
      </c>
      <c r="C252" s="5" t="s">
        <v>255</v>
      </c>
      <c r="D252" s="6">
        <f>IFERROR(__xludf.DUMMYFUNCTION("COUNTA(SPLIT(TRIM(C252),"" ""))"),87.0)</f>
        <v>87</v>
      </c>
      <c r="E252" s="7">
        <f t="shared" si="1"/>
        <v>44</v>
      </c>
      <c r="F252" s="7" t="str">
        <f t="shared" si="2"/>
        <v>251.mp3</v>
      </c>
      <c r="G252" s="8" t="s">
        <v>8</v>
      </c>
    </row>
    <row r="253" ht="14.25" customHeight="1">
      <c r="A253" s="1">
        <v>252.0</v>
      </c>
      <c r="B253" s="1">
        <v>84.0</v>
      </c>
      <c r="C253" s="5" t="s">
        <v>256</v>
      </c>
      <c r="D253" s="6">
        <f>IFERROR(__xludf.DUMMYFUNCTION("COUNTA(SPLIT(TRIM(C253),"" ""))"),163.0)</f>
        <v>163</v>
      </c>
      <c r="E253" s="7">
        <f t="shared" si="1"/>
        <v>82</v>
      </c>
      <c r="F253" s="7" t="str">
        <f t="shared" si="2"/>
        <v>252.mp3</v>
      </c>
      <c r="G253" s="8" t="s">
        <v>8</v>
      </c>
    </row>
    <row r="254" ht="14.25" customHeight="1">
      <c r="A254" s="1">
        <v>253.0</v>
      </c>
      <c r="B254" s="1">
        <v>85.0</v>
      </c>
      <c r="C254" s="5" t="s">
        <v>257</v>
      </c>
      <c r="D254" s="6">
        <f>IFERROR(__xludf.DUMMYFUNCTION("COUNTA(SPLIT(TRIM(C254),"" ""))"),25.0)</f>
        <v>25</v>
      </c>
      <c r="E254" s="7">
        <f t="shared" si="1"/>
        <v>13</v>
      </c>
      <c r="F254" s="7" t="str">
        <f t="shared" si="2"/>
        <v>253.mp3</v>
      </c>
      <c r="G254" s="8" t="s">
        <v>8</v>
      </c>
    </row>
    <row r="255" ht="14.25" customHeight="1">
      <c r="A255" s="1">
        <v>254.0</v>
      </c>
      <c r="B255" s="1">
        <v>85.0</v>
      </c>
      <c r="C255" s="5" t="s">
        <v>258</v>
      </c>
      <c r="D255" s="6">
        <f>IFERROR(__xludf.DUMMYFUNCTION("COUNTA(SPLIT(TRIM(C255),"" ""))"),80.0)</f>
        <v>80</v>
      </c>
      <c r="E255" s="7">
        <f t="shared" si="1"/>
        <v>40</v>
      </c>
      <c r="F255" s="7" t="str">
        <f t="shared" si="2"/>
        <v>254.mp3</v>
      </c>
      <c r="G255" s="8" t="s">
        <v>8</v>
      </c>
    </row>
    <row r="256" ht="14.25" customHeight="1">
      <c r="A256" s="1">
        <v>255.0</v>
      </c>
      <c r="B256" s="1">
        <v>85.0</v>
      </c>
      <c r="C256" s="5" t="s">
        <v>259</v>
      </c>
      <c r="D256" s="6">
        <f>IFERROR(__xludf.DUMMYFUNCTION("COUNTA(SPLIT(TRIM(C256),"" ""))"),145.0)</f>
        <v>145</v>
      </c>
      <c r="E256" s="7">
        <f t="shared" si="1"/>
        <v>73</v>
      </c>
      <c r="F256" s="7" t="str">
        <f t="shared" si="2"/>
        <v>255.mp3</v>
      </c>
      <c r="G256" s="8" t="s">
        <v>8</v>
      </c>
    </row>
    <row r="257" ht="14.25" customHeight="1">
      <c r="A257" s="1">
        <v>256.0</v>
      </c>
      <c r="B257" s="1">
        <v>86.0</v>
      </c>
      <c r="C257" s="5" t="s">
        <v>260</v>
      </c>
      <c r="D257" s="6">
        <f>IFERROR(__xludf.DUMMYFUNCTION("COUNTA(SPLIT(TRIM(C257),"" ""))"),27.0)</f>
        <v>27</v>
      </c>
      <c r="E257" s="7">
        <f t="shared" si="1"/>
        <v>14</v>
      </c>
      <c r="F257" s="7" t="str">
        <f t="shared" si="2"/>
        <v>256.mp3</v>
      </c>
      <c r="G257" s="8" t="s">
        <v>8</v>
      </c>
    </row>
    <row r="258" ht="14.25" customHeight="1">
      <c r="A258" s="1">
        <v>257.0</v>
      </c>
      <c r="B258" s="1">
        <v>86.0</v>
      </c>
      <c r="C258" s="5" t="s">
        <v>261</v>
      </c>
      <c r="D258" s="6">
        <f>IFERROR(__xludf.DUMMYFUNCTION("COUNTA(SPLIT(TRIM(C258),"" ""))"),68.0)</f>
        <v>68</v>
      </c>
      <c r="E258" s="7">
        <f t="shared" si="1"/>
        <v>34</v>
      </c>
      <c r="F258" s="7" t="str">
        <f t="shared" si="2"/>
        <v>257.mp3</v>
      </c>
      <c r="G258" s="8" t="s">
        <v>8</v>
      </c>
    </row>
    <row r="259" ht="14.25" customHeight="1">
      <c r="A259" s="1">
        <v>258.0</v>
      </c>
      <c r="B259" s="1">
        <v>86.0</v>
      </c>
      <c r="C259" s="5" t="s">
        <v>262</v>
      </c>
      <c r="D259" s="6">
        <f>IFERROR(__xludf.DUMMYFUNCTION("COUNTA(SPLIT(TRIM(C259),"" ""))"),149.0)</f>
        <v>149</v>
      </c>
      <c r="E259" s="7">
        <f t="shared" si="1"/>
        <v>75</v>
      </c>
      <c r="F259" s="7" t="str">
        <f t="shared" si="2"/>
        <v>258.mp3</v>
      </c>
      <c r="G259" s="8" t="s">
        <v>8</v>
      </c>
    </row>
    <row r="260" ht="14.25" customHeight="1">
      <c r="A260" s="1">
        <v>259.0</v>
      </c>
      <c r="B260" s="1">
        <v>87.0</v>
      </c>
      <c r="C260" s="5" t="s">
        <v>263</v>
      </c>
      <c r="D260" s="6">
        <f>IFERROR(__xludf.DUMMYFUNCTION("COUNTA(SPLIT(TRIM(C260),"" ""))"),27.0)</f>
        <v>27</v>
      </c>
      <c r="E260" s="7">
        <f t="shared" si="1"/>
        <v>14</v>
      </c>
      <c r="F260" s="7" t="str">
        <f t="shared" si="2"/>
        <v>259.mp3</v>
      </c>
      <c r="G260" s="8" t="s">
        <v>8</v>
      </c>
    </row>
    <row r="261" ht="14.25" customHeight="1">
      <c r="A261" s="1">
        <v>260.0</v>
      </c>
      <c r="B261" s="1">
        <v>87.0</v>
      </c>
      <c r="C261" s="5" t="s">
        <v>264</v>
      </c>
      <c r="D261" s="6">
        <f>IFERROR(__xludf.DUMMYFUNCTION("COUNTA(SPLIT(TRIM(C261),"" ""))"),94.0)</f>
        <v>94</v>
      </c>
      <c r="E261" s="7">
        <f t="shared" si="1"/>
        <v>47</v>
      </c>
      <c r="F261" s="7" t="str">
        <f t="shared" si="2"/>
        <v>260.mp3</v>
      </c>
      <c r="G261" s="8" t="s">
        <v>8</v>
      </c>
    </row>
    <row r="262" ht="14.25" customHeight="1">
      <c r="A262" s="1">
        <v>261.0</v>
      </c>
      <c r="B262" s="1">
        <v>87.0</v>
      </c>
      <c r="C262" s="5" t="s">
        <v>265</v>
      </c>
      <c r="D262" s="6">
        <f>IFERROR(__xludf.DUMMYFUNCTION("COUNTA(SPLIT(TRIM(C262),"" ""))"),145.0)</f>
        <v>145</v>
      </c>
      <c r="E262" s="7">
        <f t="shared" si="1"/>
        <v>73</v>
      </c>
      <c r="F262" s="7" t="str">
        <f t="shared" si="2"/>
        <v>261.mp3</v>
      </c>
      <c r="G262" s="8" t="s">
        <v>8</v>
      </c>
    </row>
    <row r="263" ht="14.25" customHeight="1">
      <c r="A263" s="1">
        <v>262.0</v>
      </c>
      <c r="B263" s="1">
        <v>88.0</v>
      </c>
      <c r="C263" s="5" t="s">
        <v>266</v>
      </c>
      <c r="D263" s="6">
        <f>IFERROR(__xludf.DUMMYFUNCTION("COUNTA(SPLIT(TRIM(C263),"" ""))"),26.0)</f>
        <v>26</v>
      </c>
      <c r="E263" s="7">
        <f t="shared" si="1"/>
        <v>13</v>
      </c>
      <c r="F263" s="7" t="str">
        <f t="shared" si="2"/>
        <v>262.mp3</v>
      </c>
      <c r="G263" s="8" t="s">
        <v>8</v>
      </c>
    </row>
    <row r="264" ht="14.25" customHeight="1">
      <c r="A264" s="1">
        <v>263.0</v>
      </c>
      <c r="B264" s="1">
        <v>88.0</v>
      </c>
      <c r="C264" s="5" t="s">
        <v>267</v>
      </c>
      <c r="D264" s="6">
        <f>IFERROR(__xludf.DUMMYFUNCTION("COUNTA(SPLIT(TRIM(C264),"" ""))"),81.0)</f>
        <v>81</v>
      </c>
      <c r="E264" s="7">
        <f t="shared" si="1"/>
        <v>41</v>
      </c>
      <c r="F264" s="7" t="str">
        <f t="shared" si="2"/>
        <v>263.mp3</v>
      </c>
      <c r="G264" s="8" t="s">
        <v>8</v>
      </c>
    </row>
    <row r="265" ht="14.25" customHeight="1">
      <c r="A265" s="1">
        <v>264.0</v>
      </c>
      <c r="B265" s="1">
        <v>88.0</v>
      </c>
      <c r="C265" s="5" t="s">
        <v>268</v>
      </c>
      <c r="D265" s="6">
        <f>IFERROR(__xludf.DUMMYFUNCTION("COUNTA(SPLIT(TRIM(C265),"" ""))"),142.0)</f>
        <v>142</v>
      </c>
      <c r="E265" s="7">
        <f t="shared" si="1"/>
        <v>71</v>
      </c>
      <c r="F265" s="7" t="str">
        <f t="shared" si="2"/>
        <v>264.mp3</v>
      </c>
      <c r="G265" s="8" t="s">
        <v>8</v>
      </c>
    </row>
    <row r="266" ht="14.25" customHeight="1">
      <c r="A266" s="1">
        <v>265.0</v>
      </c>
      <c r="B266" s="1">
        <v>89.0</v>
      </c>
      <c r="C266" s="5" t="s">
        <v>269</v>
      </c>
      <c r="D266" s="6">
        <f>IFERROR(__xludf.DUMMYFUNCTION("COUNTA(SPLIT(TRIM(C266),"" ""))"),28.0)</f>
        <v>28</v>
      </c>
      <c r="E266" s="7">
        <f t="shared" si="1"/>
        <v>14</v>
      </c>
      <c r="F266" s="7" t="str">
        <f t="shared" si="2"/>
        <v>265.mp3</v>
      </c>
      <c r="G266" s="8" t="s">
        <v>8</v>
      </c>
    </row>
    <row r="267" ht="14.25" customHeight="1">
      <c r="A267" s="1">
        <v>266.0</v>
      </c>
      <c r="B267" s="1">
        <v>89.0</v>
      </c>
      <c r="C267" s="5" t="s">
        <v>270</v>
      </c>
      <c r="D267" s="6">
        <f>IFERROR(__xludf.DUMMYFUNCTION("COUNTA(SPLIT(TRIM(C267),"" ""))"),92.0)</f>
        <v>92</v>
      </c>
      <c r="E267" s="7">
        <f t="shared" si="1"/>
        <v>46</v>
      </c>
      <c r="F267" s="7" t="str">
        <f t="shared" si="2"/>
        <v>266.mp3</v>
      </c>
      <c r="G267" s="8" t="s">
        <v>8</v>
      </c>
    </row>
    <row r="268" ht="14.25" customHeight="1">
      <c r="A268" s="1">
        <v>267.0</v>
      </c>
      <c r="B268" s="1">
        <v>89.0</v>
      </c>
      <c r="C268" s="5" t="s">
        <v>271</v>
      </c>
      <c r="D268" s="6">
        <f>IFERROR(__xludf.DUMMYFUNCTION("COUNTA(SPLIT(TRIM(C268),"" ""))"),167.0)</f>
        <v>167</v>
      </c>
      <c r="E268" s="7">
        <f t="shared" si="1"/>
        <v>84</v>
      </c>
      <c r="F268" s="7" t="str">
        <f t="shared" si="2"/>
        <v>267.mp3</v>
      </c>
      <c r="G268" s="8" t="s">
        <v>8</v>
      </c>
    </row>
    <row r="269" ht="14.25" customHeight="1">
      <c r="A269" s="1">
        <v>268.0</v>
      </c>
      <c r="B269" s="1">
        <v>90.0</v>
      </c>
      <c r="C269" s="5" t="s">
        <v>272</v>
      </c>
      <c r="D269" s="6">
        <f>IFERROR(__xludf.DUMMYFUNCTION("COUNTA(SPLIT(TRIM(C269),"" ""))"),23.0)</f>
        <v>23</v>
      </c>
      <c r="E269" s="7">
        <f t="shared" si="1"/>
        <v>12</v>
      </c>
      <c r="F269" s="7" t="str">
        <f t="shared" si="2"/>
        <v>268.mp3</v>
      </c>
      <c r="G269" s="8" t="s">
        <v>8</v>
      </c>
    </row>
    <row r="270" ht="14.25" customHeight="1">
      <c r="A270" s="1">
        <v>269.0</v>
      </c>
      <c r="B270" s="1">
        <v>90.0</v>
      </c>
      <c r="C270" s="5" t="s">
        <v>273</v>
      </c>
      <c r="D270" s="6">
        <f>IFERROR(__xludf.DUMMYFUNCTION("COUNTA(SPLIT(TRIM(C270),"" ""))"),83.0)</f>
        <v>83</v>
      </c>
      <c r="E270" s="7">
        <f t="shared" si="1"/>
        <v>42</v>
      </c>
      <c r="F270" s="7" t="str">
        <f t="shared" si="2"/>
        <v>269.mp3</v>
      </c>
      <c r="G270" s="8" t="s">
        <v>8</v>
      </c>
    </row>
    <row r="271" ht="14.25" customHeight="1">
      <c r="A271" s="1">
        <v>270.0</v>
      </c>
      <c r="B271" s="1">
        <v>90.0</v>
      </c>
      <c r="C271" s="5" t="s">
        <v>274</v>
      </c>
      <c r="D271" s="6">
        <f>IFERROR(__xludf.DUMMYFUNCTION("COUNTA(SPLIT(TRIM(C271),"" ""))"),150.0)</f>
        <v>150</v>
      </c>
      <c r="E271" s="7">
        <f t="shared" si="1"/>
        <v>75</v>
      </c>
      <c r="F271" s="7" t="str">
        <f t="shared" si="2"/>
        <v>270.mp3</v>
      </c>
      <c r="G271" s="8" t="s">
        <v>8</v>
      </c>
    </row>
    <row r="272" ht="14.25" customHeight="1">
      <c r="A272" s="1">
        <v>271.0</v>
      </c>
      <c r="B272" s="1">
        <v>91.0</v>
      </c>
      <c r="C272" s="5" t="s">
        <v>275</v>
      </c>
      <c r="D272" s="6">
        <f>IFERROR(__xludf.DUMMYFUNCTION("COUNTA(SPLIT(TRIM(C272),"" ""))"),26.0)</f>
        <v>26</v>
      </c>
      <c r="E272" s="7">
        <f t="shared" si="1"/>
        <v>13</v>
      </c>
      <c r="F272" s="7" t="str">
        <f t="shared" si="2"/>
        <v>271.mp3</v>
      </c>
      <c r="G272" s="8" t="s">
        <v>8</v>
      </c>
    </row>
    <row r="273" ht="14.25" customHeight="1">
      <c r="A273" s="1">
        <v>272.0</v>
      </c>
      <c r="B273" s="1">
        <v>91.0</v>
      </c>
      <c r="C273" s="5" t="s">
        <v>276</v>
      </c>
      <c r="D273" s="6">
        <f>IFERROR(__xludf.DUMMYFUNCTION("COUNTA(SPLIT(TRIM(C273),"" ""))"),91.0)</f>
        <v>91</v>
      </c>
      <c r="E273" s="7">
        <f t="shared" si="1"/>
        <v>46</v>
      </c>
      <c r="F273" s="7" t="str">
        <f t="shared" si="2"/>
        <v>272.mp3</v>
      </c>
      <c r="G273" s="8" t="s">
        <v>8</v>
      </c>
    </row>
    <row r="274" ht="14.25" customHeight="1">
      <c r="A274" s="1">
        <v>273.0</v>
      </c>
      <c r="B274" s="1">
        <v>91.0</v>
      </c>
      <c r="C274" s="5" t="s">
        <v>277</v>
      </c>
      <c r="D274" s="6">
        <f>IFERROR(__xludf.DUMMYFUNCTION("COUNTA(SPLIT(TRIM(C274),"" ""))"),137.0)</f>
        <v>137</v>
      </c>
      <c r="E274" s="7">
        <f t="shared" si="1"/>
        <v>69</v>
      </c>
      <c r="F274" s="7" t="str">
        <f t="shared" si="2"/>
        <v>273.mp3</v>
      </c>
      <c r="G274" s="8" t="s">
        <v>8</v>
      </c>
    </row>
    <row r="275" ht="14.25" customHeight="1">
      <c r="A275" s="1">
        <v>274.0</v>
      </c>
      <c r="B275" s="1">
        <v>92.0</v>
      </c>
      <c r="C275" s="5" t="s">
        <v>278</v>
      </c>
      <c r="D275" s="6">
        <f>IFERROR(__xludf.DUMMYFUNCTION("COUNTA(SPLIT(TRIM(C275),"" ""))"),26.0)</f>
        <v>26</v>
      </c>
      <c r="E275" s="7">
        <f t="shared" si="1"/>
        <v>13</v>
      </c>
      <c r="F275" s="7" t="str">
        <f t="shared" si="2"/>
        <v>274.mp3</v>
      </c>
      <c r="G275" s="8" t="s">
        <v>8</v>
      </c>
    </row>
    <row r="276" ht="14.25" customHeight="1">
      <c r="A276" s="1">
        <v>275.0</v>
      </c>
      <c r="B276" s="1">
        <v>92.0</v>
      </c>
      <c r="C276" s="5" t="s">
        <v>279</v>
      </c>
      <c r="D276" s="6">
        <f>IFERROR(__xludf.DUMMYFUNCTION("COUNTA(SPLIT(TRIM(C276),"" ""))"),81.0)</f>
        <v>81</v>
      </c>
      <c r="E276" s="7">
        <f t="shared" si="1"/>
        <v>41</v>
      </c>
      <c r="F276" s="7" t="str">
        <f t="shared" si="2"/>
        <v>275.mp3</v>
      </c>
      <c r="G276" s="8" t="s">
        <v>8</v>
      </c>
    </row>
    <row r="277" ht="14.25" customHeight="1">
      <c r="A277" s="1">
        <v>276.0</v>
      </c>
      <c r="B277" s="1">
        <v>92.0</v>
      </c>
      <c r="C277" s="5" t="s">
        <v>280</v>
      </c>
      <c r="D277" s="6">
        <f>IFERROR(__xludf.DUMMYFUNCTION("COUNTA(SPLIT(TRIM(C277),"" ""))"),157.0)</f>
        <v>157</v>
      </c>
      <c r="E277" s="7">
        <f t="shared" si="1"/>
        <v>79</v>
      </c>
      <c r="F277" s="7" t="str">
        <f t="shared" si="2"/>
        <v>276.mp3</v>
      </c>
      <c r="G277" s="8" t="s">
        <v>8</v>
      </c>
    </row>
    <row r="278" ht="14.25" customHeight="1">
      <c r="A278" s="1">
        <v>277.0</v>
      </c>
      <c r="B278" s="1">
        <v>93.0</v>
      </c>
      <c r="C278" s="5" t="s">
        <v>281</v>
      </c>
      <c r="D278" s="6">
        <f>IFERROR(__xludf.DUMMYFUNCTION("COUNTA(SPLIT(TRIM(C278),"" ""))"),24.0)</f>
        <v>24</v>
      </c>
      <c r="E278" s="7">
        <f t="shared" si="1"/>
        <v>12</v>
      </c>
      <c r="F278" s="7" t="str">
        <f t="shared" si="2"/>
        <v>277.mp3</v>
      </c>
      <c r="G278" s="8" t="s">
        <v>8</v>
      </c>
    </row>
    <row r="279" ht="14.25" customHeight="1">
      <c r="A279" s="1">
        <v>278.0</v>
      </c>
      <c r="B279" s="1">
        <v>93.0</v>
      </c>
      <c r="C279" s="5" t="s">
        <v>282</v>
      </c>
      <c r="D279" s="6">
        <f>IFERROR(__xludf.DUMMYFUNCTION("COUNTA(SPLIT(TRIM(C279),"" ""))"),87.0)</f>
        <v>87</v>
      </c>
      <c r="E279" s="7">
        <f t="shared" si="1"/>
        <v>44</v>
      </c>
      <c r="F279" s="7" t="str">
        <f t="shared" si="2"/>
        <v>278.mp3</v>
      </c>
      <c r="G279" s="8" t="s">
        <v>8</v>
      </c>
    </row>
    <row r="280" ht="14.25" customHeight="1">
      <c r="A280" s="1">
        <v>279.0</v>
      </c>
      <c r="B280" s="1">
        <v>93.0</v>
      </c>
      <c r="C280" s="5" t="s">
        <v>283</v>
      </c>
      <c r="D280" s="6">
        <f>IFERROR(__xludf.DUMMYFUNCTION("COUNTA(SPLIT(TRIM(C280),"" ""))"),143.0)</f>
        <v>143</v>
      </c>
      <c r="E280" s="7">
        <f t="shared" si="1"/>
        <v>72</v>
      </c>
      <c r="F280" s="7" t="str">
        <f t="shared" si="2"/>
        <v>279.mp3</v>
      </c>
      <c r="G280" s="8" t="s">
        <v>8</v>
      </c>
    </row>
    <row r="281" ht="14.25" customHeight="1">
      <c r="A281" s="1">
        <v>280.0</v>
      </c>
      <c r="B281" s="1">
        <v>94.0</v>
      </c>
      <c r="C281" s="5" t="s">
        <v>284</v>
      </c>
      <c r="D281" s="6">
        <f>IFERROR(__xludf.DUMMYFUNCTION("COUNTA(SPLIT(TRIM(C281),"" ""))"),27.0)</f>
        <v>27</v>
      </c>
      <c r="E281" s="7">
        <f t="shared" si="1"/>
        <v>14</v>
      </c>
      <c r="F281" s="7" t="str">
        <f t="shared" si="2"/>
        <v>280.mp3</v>
      </c>
      <c r="G281" s="8" t="s">
        <v>8</v>
      </c>
    </row>
    <row r="282" ht="14.25" customHeight="1">
      <c r="A282" s="1">
        <v>281.0</v>
      </c>
      <c r="B282" s="1">
        <v>94.0</v>
      </c>
      <c r="C282" s="5" t="s">
        <v>285</v>
      </c>
      <c r="D282" s="6">
        <f>IFERROR(__xludf.DUMMYFUNCTION("COUNTA(SPLIT(TRIM(C282),"" ""))"),83.0)</f>
        <v>83</v>
      </c>
      <c r="E282" s="7">
        <f t="shared" si="1"/>
        <v>42</v>
      </c>
      <c r="F282" s="7" t="str">
        <f t="shared" si="2"/>
        <v>281.mp3</v>
      </c>
      <c r="G282" s="8" t="s">
        <v>8</v>
      </c>
    </row>
    <row r="283" ht="14.25" customHeight="1">
      <c r="A283" s="1">
        <v>282.0</v>
      </c>
      <c r="B283" s="1">
        <v>94.0</v>
      </c>
      <c r="C283" s="5" t="s">
        <v>286</v>
      </c>
      <c r="D283" s="6">
        <f>IFERROR(__xludf.DUMMYFUNCTION("COUNTA(SPLIT(TRIM(C283),"" ""))"),135.0)</f>
        <v>135</v>
      </c>
      <c r="E283" s="7">
        <f t="shared" si="1"/>
        <v>68</v>
      </c>
      <c r="F283" s="7" t="str">
        <f t="shared" si="2"/>
        <v>282.mp3</v>
      </c>
      <c r="G283" s="8" t="s">
        <v>8</v>
      </c>
    </row>
    <row r="284" ht="14.25" customHeight="1">
      <c r="A284" s="1">
        <v>283.0</v>
      </c>
      <c r="B284" s="1">
        <v>95.0</v>
      </c>
      <c r="C284" s="5" t="s">
        <v>287</v>
      </c>
      <c r="D284" s="6">
        <f>IFERROR(__xludf.DUMMYFUNCTION("COUNTA(SPLIT(TRIM(C284),"" ""))"),25.0)</f>
        <v>25</v>
      </c>
      <c r="E284" s="7">
        <f t="shared" si="1"/>
        <v>13</v>
      </c>
      <c r="F284" s="7" t="str">
        <f t="shared" si="2"/>
        <v>283.mp3</v>
      </c>
      <c r="G284" s="8" t="s">
        <v>8</v>
      </c>
    </row>
    <row r="285" ht="14.25" customHeight="1">
      <c r="A285" s="1">
        <v>284.0</v>
      </c>
      <c r="B285" s="1">
        <v>95.0</v>
      </c>
      <c r="C285" s="5" t="s">
        <v>288</v>
      </c>
      <c r="D285" s="6">
        <f>IFERROR(__xludf.DUMMYFUNCTION("COUNTA(SPLIT(TRIM(C285),"" ""))"),84.0)</f>
        <v>84</v>
      </c>
      <c r="E285" s="7">
        <f t="shared" si="1"/>
        <v>42</v>
      </c>
      <c r="F285" s="7" t="str">
        <f t="shared" si="2"/>
        <v>284.mp3</v>
      </c>
      <c r="G285" s="8" t="s">
        <v>8</v>
      </c>
    </row>
    <row r="286" ht="14.25" customHeight="1">
      <c r="A286" s="1">
        <v>285.0</v>
      </c>
      <c r="B286" s="1">
        <v>95.0</v>
      </c>
      <c r="C286" s="5" t="s">
        <v>289</v>
      </c>
      <c r="D286" s="6">
        <f>IFERROR(__xludf.DUMMYFUNCTION("COUNTA(SPLIT(TRIM(C286),"" ""))"),128.0)</f>
        <v>128</v>
      </c>
      <c r="E286" s="7">
        <f t="shared" si="1"/>
        <v>64</v>
      </c>
      <c r="F286" s="7" t="str">
        <f t="shared" si="2"/>
        <v>285.mp3</v>
      </c>
      <c r="G286" s="8" t="s">
        <v>8</v>
      </c>
    </row>
    <row r="287" ht="14.25" customHeight="1">
      <c r="A287" s="1">
        <v>286.0</v>
      </c>
      <c r="B287" s="1">
        <v>96.0</v>
      </c>
      <c r="C287" s="5" t="s">
        <v>290</v>
      </c>
      <c r="D287" s="6">
        <f>IFERROR(__xludf.DUMMYFUNCTION("COUNTA(SPLIT(TRIM(C287),"" ""))"),24.0)</f>
        <v>24</v>
      </c>
      <c r="E287" s="7">
        <f t="shared" si="1"/>
        <v>12</v>
      </c>
      <c r="F287" s="7" t="str">
        <f t="shared" si="2"/>
        <v>286.mp3</v>
      </c>
      <c r="G287" s="8" t="s">
        <v>8</v>
      </c>
    </row>
    <row r="288" ht="14.25" customHeight="1">
      <c r="A288" s="1">
        <v>287.0</v>
      </c>
      <c r="B288" s="1">
        <v>96.0</v>
      </c>
      <c r="C288" s="5" t="s">
        <v>291</v>
      </c>
      <c r="D288" s="6">
        <f>IFERROR(__xludf.DUMMYFUNCTION("COUNTA(SPLIT(TRIM(C288),"" ""))"),85.0)</f>
        <v>85</v>
      </c>
      <c r="E288" s="7">
        <f t="shared" si="1"/>
        <v>43</v>
      </c>
      <c r="F288" s="7" t="str">
        <f t="shared" si="2"/>
        <v>287.mp3</v>
      </c>
      <c r="G288" s="8" t="s">
        <v>8</v>
      </c>
    </row>
    <row r="289" ht="14.25" customHeight="1">
      <c r="A289" s="1">
        <v>288.0</v>
      </c>
      <c r="B289" s="1">
        <v>96.0</v>
      </c>
      <c r="C289" s="5" t="s">
        <v>292</v>
      </c>
      <c r="D289" s="6">
        <f>IFERROR(__xludf.DUMMYFUNCTION("COUNTA(SPLIT(TRIM(C289),"" ""))"),128.0)</f>
        <v>128</v>
      </c>
      <c r="E289" s="7">
        <f t="shared" si="1"/>
        <v>64</v>
      </c>
      <c r="F289" s="7" t="str">
        <f t="shared" si="2"/>
        <v>288.mp3</v>
      </c>
      <c r="G289" s="8" t="s">
        <v>8</v>
      </c>
    </row>
    <row r="290" ht="14.25" customHeight="1">
      <c r="A290" s="1">
        <v>289.0</v>
      </c>
      <c r="B290" s="1">
        <v>97.0</v>
      </c>
      <c r="C290" s="5" t="s">
        <v>293</v>
      </c>
      <c r="D290" s="6">
        <f>IFERROR(__xludf.DUMMYFUNCTION("COUNTA(SPLIT(TRIM(C290),"" ""))"),25.0)</f>
        <v>25</v>
      </c>
      <c r="E290" s="7">
        <f t="shared" si="1"/>
        <v>13</v>
      </c>
      <c r="F290" s="7" t="str">
        <f t="shared" si="2"/>
        <v>289.mp3</v>
      </c>
      <c r="G290" s="8" t="s">
        <v>8</v>
      </c>
    </row>
    <row r="291" ht="14.25" customHeight="1">
      <c r="A291" s="1">
        <v>290.0</v>
      </c>
      <c r="B291" s="1">
        <v>97.0</v>
      </c>
      <c r="C291" s="5" t="s">
        <v>294</v>
      </c>
      <c r="D291" s="6">
        <f>IFERROR(__xludf.DUMMYFUNCTION("COUNTA(SPLIT(TRIM(C291),"" ""))"),74.0)</f>
        <v>74</v>
      </c>
      <c r="E291" s="7">
        <f t="shared" si="1"/>
        <v>37</v>
      </c>
      <c r="F291" s="7" t="str">
        <f t="shared" si="2"/>
        <v>290.mp3</v>
      </c>
      <c r="G291" s="8" t="s">
        <v>8</v>
      </c>
    </row>
    <row r="292" ht="14.25" customHeight="1">
      <c r="A292" s="1">
        <v>291.0</v>
      </c>
      <c r="B292" s="1">
        <v>97.0</v>
      </c>
      <c r="C292" s="5" t="s">
        <v>295</v>
      </c>
      <c r="D292" s="6">
        <f>IFERROR(__xludf.DUMMYFUNCTION("COUNTA(SPLIT(TRIM(C292),"" ""))"),129.0)</f>
        <v>129</v>
      </c>
      <c r="E292" s="7">
        <f t="shared" si="1"/>
        <v>65</v>
      </c>
      <c r="F292" s="7" t="str">
        <f t="shared" si="2"/>
        <v>291.mp3</v>
      </c>
      <c r="G292" s="8" t="s">
        <v>8</v>
      </c>
    </row>
    <row r="293" ht="14.25" customHeight="1">
      <c r="A293" s="1">
        <v>292.0</v>
      </c>
      <c r="B293" s="1">
        <v>98.0</v>
      </c>
      <c r="C293" s="5" t="s">
        <v>296</v>
      </c>
      <c r="D293" s="6">
        <f>IFERROR(__xludf.DUMMYFUNCTION("COUNTA(SPLIT(TRIM(C293),"" ""))"),24.0)</f>
        <v>24</v>
      </c>
      <c r="E293" s="7">
        <f t="shared" si="1"/>
        <v>12</v>
      </c>
      <c r="F293" s="7" t="str">
        <f t="shared" si="2"/>
        <v>292.mp3</v>
      </c>
      <c r="G293" s="8" t="s">
        <v>8</v>
      </c>
    </row>
    <row r="294" ht="14.25" customHeight="1">
      <c r="A294" s="1">
        <v>293.0</v>
      </c>
      <c r="B294" s="1">
        <v>98.0</v>
      </c>
      <c r="C294" s="5" t="s">
        <v>297</v>
      </c>
      <c r="D294" s="6">
        <f>IFERROR(__xludf.DUMMYFUNCTION("COUNTA(SPLIT(TRIM(C294),"" ""))"),89.0)</f>
        <v>89</v>
      </c>
      <c r="E294" s="7">
        <f t="shared" si="1"/>
        <v>45</v>
      </c>
      <c r="F294" s="7" t="str">
        <f t="shared" si="2"/>
        <v>293.mp3</v>
      </c>
      <c r="G294" s="8" t="s">
        <v>8</v>
      </c>
    </row>
    <row r="295" ht="14.25" customHeight="1">
      <c r="A295" s="1">
        <v>294.0</v>
      </c>
      <c r="B295" s="1">
        <v>98.0</v>
      </c>
      <c r="C295" s="5" t="s">
        <v>298</v>
      </c>
      <c r="D295" s="6">
        <f>IFERROR(__xludf.DUMMYFUNCTION("COUNTA(SPLIT(TRIM(C295),"" ""))"),131.0)</f>
        <v>131</v>
      </c>
      <c r="E295" s="7">
        <f t="shared" si="1"/>
        <v>66</v>
      </c>
      <c r="F295" s="7" t="str">
        <f t="shared" si="2"/>
        <v>294.mp3</v>
      </c>
      <c r="G295" s="8" t="s">
        <v>8</v>
      </c>
    </row>
    <row r="296" ht="14.25" customHeight="1">
      <c r="A296" s="1">
        <v>295.0</v>
      </c>
      <c r="B296" s="1">
        <v>99.0</v>
      </c>
      <c r="C296" s="5" t="s">
        <v>299</v>
      </c>
      <c r="D296" s="6">
        <f>IFERROR(__xludf.DUMMYFUNCTION("COUNTA(SPLIT(TRIM(C296),"" ""))"),27.0)</f>
        <v>27</v>
      </c>
      <c r="E296" s="7">
        <f t="shared" si="1"/>
        <v>14</v>
      </c>
      <c r="F296" s="7" t="str">
        <f t="shared" si="2"/>
        <v>295.mp3</v>
      </c>
      <c r="G296" s="8" t="s">
        <v>8</v>
      </c>
    </row>
    <row r="297" ht="14.25" customHeight="1">
      <c r="A297" s="1">
        <v>296.0</v>
      </c>
      <c r="B297" s="1">
        <v>99.0</v>
      </c>
      <c r="C297" s="5" t="s">
        <v>300</v>
      </c>
      <c r="D297" s="6">
        <f>IFERROR(__xludf.DUMMYFUNCTION("COUNTA(SPLIT(TRIM(C297),"" ""))"),95.0)</f>
        <v>95</v>
      </c>
      <c r="E297" s="7">
        <f t="shared" si="1"/>
        <v>48</v>
      </c>
      <c r="F297" s="7" t="str">
        <f t="shared" si="2"/>
        <v>296.mp3</v>
      </c>
      <c r="G297" s="8" t="s">
        <v>8</v>
      </c>
    </row>
    <row r="298" ht="14.25" customHeight="1">
      <c r="A298" s="1">
        <v>297.0</v>
      </c>
      <c r="B298" s="1">
        <v>99.0</v>
      </c>
      <c r="C298" s="5" t="s">
        <v>301</v>
      </c>
      <c r="D298" s="6">
        <f>IFERROR(__xludf.DUMMYFUNCTION("COUNTA(SPLIT(TRIM(C298),"" ""))"),158.0)</f>
        <v>158</v>
      </c>
      <c r="E298" s="7">
        <f t="shared" si="1"/>
        <v>79</v>
      </c>
      <c r="F298" s="7" t="str">
        <f t="shared" si="2"/>
        <v>297.mp3</v>
      </c>
      <c r="G298" s="8" t="s">
        <v>8</v>
      </c>
    </row>
    <row r="299" ht="14.25" customHeight="1">
      <c r="A299" s="1">
        <v>298.0</v>
      </c>
      <c r="B299" s="1">
        <v>100.0</v>
      </c>
      <c r="C299" s="5" t="s">
        <v>302</v>
      </c>
      <c r="D299" s="6">
        <f>IFERROR(__xludf.DUMMYFUNCTION("COUNTA(SPLIT(TRIM(C299),"" ""))"),25.0)</f>
        <v>25</v>
      </c>
      <c r="E299" s="7">
        <f t="shared" si="1"/>
        <v>13</v>
      </c>
      <c r="F299" s="7" t="str">
        <f t="shared" si="2"/>
        <v>298.mp3</v>
      </c>
      <c r="G299" s="8" t="s">
        <v>8</v>
      </c>
    </row>
    <row r="300" ht="14.25" customHeight="1">
      <c r="A300" s="1">
        <v>299.0</v>
      </c>
      <c r="B300" s="1">
        <v>100.0</v>
      </c>
      <c r="C300" s="5" t="s">
        <v>303</v>
      </c>
      <c r="D300" s="6">
        <f>IFERROR(__xludf.DUMMYFUNCTION("COUNTA(SPLIT(TRIM(C300),"" ""))"),102.0)</f>
        <v>102</v>
      </c>
      <c r="E300" s="7">
        <f t="shared" si="1"/>
        <v>51</v>
      </c>
      <c r="F300" s="7" t="str">
        <f t="shared" si="2"/>
        <v>299.mp3</v>
      </c>
      <c r="G300" s="8" t="s">
        <v>8</v>
      </c>
    </row>
    <row r="301" ht="14.25" customHeight="1">
      <c r="A301" s="1">
        <v>300.0</v>
      </c>
      <c r="B301" s="1">
        <v>100.0</v>
      </c>
      <c r="C301" s="5" t="s">
        <v>304</v>
      </c>
      <c r="D301" s="6">
        <f>IFERROR(__xludf.DUMMYFUNCTION("COUNTA(SPLIT(TRIM(C301),"" ""))"),145.0)</f>
        <v>145</v>
      </c>
      <c r="E301" s="7">
        <f t="shared" si="1"/>
        <v>73</v>
      </c>
      <c r="F301" s="7" t="str">
        <f t="shared" si="2"/>
        <v>300.mp3</v>
      </c>
      <c r="G301" s="8" t="s">
        <v>8</v>
      </c>
    </row>
    <row r="302" ht="14.25" customHeight="1">
      <c r="A302" s="1">
        <v>301.0</v>
      </c>
      <c r="B302" s="1">
        <v>101.0</v>
      </c>
      <c r="C302" s="5" t="s">
        <v>305</v>
      </c>
      <c r="D302" s="6">
        <f>IFERROR(__xludf.DUMMYFUNCTION("COUNTA(SPLIT(TRIM(C302),"" ""))"),23.0)</f>
        <v>23</v>
      </c>
      <c r="E302" s="7">
        <f t="shared" si="1"/>
        <v>12</v>
      </c>
      <c r="F302" s="7" t="str">
        <f t="shared" si="2"/>
        <v>301.mp3</v>
      </c>
      <c r="G302" s="8" t="s">
        <v>8</v>
      </c>
    </row>
    <row r="303" ht="14.25" customHeight="1">
      <c r="A303" s="1">
        <v>302.0</v>
      </c>
      <c r="B303" s="1">
        <v>101.0</v>
      </c>
      <c r="C303" s="5" t="s">
        <v>306</v>
      </c>
      <c r="D303" s="6">
        <f>IFERROR(__xludf.DUMMYFUNCTION("COUNTA(SPLIT(TRIM(C303),"" ""))"),82.0)</f>
        <v>82</v>
      </c>
      <c r="E303" s="7">
        <f t="shared" si="1"/>
        <v>41</v>
      </c>
      <c r="F303" s="7" t="str">
        <f t="shared" si="2"/>
        <v>302.mp3</v>
      </c>
      <c r="G303" s="8" t="s">
        <v>8</v>
      </c>
    </row>
    <row r="304" ht="14.25" customHeight="1">
      <c r="A304" s="1">
        <v>303.0</v>
      </c>
      <c r="B304" s="1">
        <v>101.0</v>
      </c>
      <c r="C304" s="5" t="s">
        <v>307</v>
      </c>
      <c r="D304" s="6">
        <f>IFERROR(__xludf.DUMMYFUNCTION("COUNTA(SPLIT(TRIM(C304),"" ""))"),140.0)</f>
        <v>140</v>
      </c>
      <c r="E304" s="7">
        <f t="shared" si="1"/>
        <v>70</v>
      </c>
      <c r="F304" s="7" t="str">
        <f t="shared" si="2"/>
        <v>303.mp3</v>
      </c>
      <c r="G304" s="8" t="s">
        <v>8</v>
      </c>
    </row>
    <row r="305" ht="14.25" customHeight="1">
      <c r="A305" s="1">
        <v>304.0</v>
      </c>
      <c r="B305" s="1">
        <v>102.0</v>
      </c>
      <c r="C305" s="5" t="s">
        <v>308</v>
      </c>
      <c r="D305" s="6">
        <f>IFERROR(__xludf.DUMMYFUNCTION("COUNTA(SPLIT(TRIM(C305),"" ""))"),27.0)</f>
        <v>27</v>
      </c>
      <c r="E305" s="7">
        <f t="shared" si="1"/>
        <v>14</v>
      </c>
      <c r="F305" s="7" t="str">
        <f t="shared" si="2"/>
        <v>304.mp3</v>
      </c>
      <c r="G305" s="8" t="s">
        <v>8</v>
      </c>
    </row>
    <row r="306" ht="14.25" customHeight="1">
      <c r="A306" s="1">
        <v>305.0</v>
      </c>
      <c r="B306" s="1">
        <v>102.0</v>
      </c>
      <c r="C306" s="5" t="s">
        <v>309</v>
      </c>
      <c r="D306" s="6">
        <f>IFERROR(__xludf.DUMMYFUNCTION("COUNTA(SPLIT(TRIM(C306),"" ""))"),85.0)</f>
        <v>85</v>
      </c>
      <c r="E306" s="7">
        <f t="shared" si="1"/>
        <v>43</v>
      </c>
      <c r="F306" s="7" t="str">
        <f t="shared" si="2"/>
        <v>305.mp3</v>
      </c>
      <c r="G306" s="8" t="s">
        <v>8</v>
      </c>
    </row>
    <row r="307" ht="14.25" customHeight="1">
      <c r="A307" s="1">
        <v>306.0</v>
      </c>
      <c r="B307" s="1">
        <v>102.0</v>
      </c>
      <c r="C307" s="5" t="s">
        <v>310</v>
      </c>
      <c r="D307" s="6">
        <f>IFERROR(__xludf.DUMMYFUNCTION("COUNTA(SPLIT(TRIM(C307),"" ""))"),142.0)</f>
        <v>142</v>
      </c>
      <c r="E307" s="7">
        <f t="shared" si="1"/>
        <v>71</v>
      </c>
      <c r="F307" s="7" t="str">
        <f t="shared" si="2"/>
        <v>306.mp3</v>
      </c>
      <c r="G307" s="8" t="s">
        <v>8</v>
      </c>
    </row>
    <row r="308" ht="14.25" customHeight="1">
      <c r="A308" s="1">
        <v>307.0</v>
      </c>
      <c r="B308" s="1">
        <v>103.0</v>
      </c>
      <c r="C308" s="5" t="s">
        <v>311</v>
      </c>
      <c r="D308" s="6">
        <f>IFERROR(__xludf.DUMMYFUNCTION("COUNTA(SPLIT(TRIM(C308),"" ""))"),23.0)</f>
        <v>23</v>
      </c>
      <c r="E308" s="7">
        <f t="shared" si="1"/>
        <v>12</v>
      </c>
      <c r="F308" s="7" t="str">
        <f t="shared" si="2"/>
        <v>307.mp3</v>
      </c>
      <c r="G308" s="8" t="s">
        <v>8</v>
      </c>
    </row>
    <row r="309" ht="14.25" customHeight="1">
      <c r="A309" s="1">
        <v>308.0</v>
      </c>
      <c r="B309" s="1">
        <v>103.0</v>
      </c>
      <c r="C309" s="5" t="s">
        <v>312</v>
      </c>
      <c r="D309" s="6">
        <f>IFERROR(__xludf.DUMMYFUNCTION("COUNTA(SPLIT(TRIM(C309),"" ""))"),86.0)</f>
        <v>86</v>
      </c>
      <c r="E309" s="7">
        <f t="shared" si="1"/>
        <v>43</v>
      </c>
      <c r="F309" s="7" t="str">
        <f t="shared" si="2"/>
        <v>308.mp3</v>
      </c>
      <c r="G309" s="8" t="s">
        <v>8</v>
      </c>
    </row>
    <row r="310" ht="14.25" customHeight="1">
      <c r="A310" s="1">
        <v>309.0</v>
      </c>
      <c r="B310" s="1">
        <v>103.0</v>
      </c>
      <c r="C310" s="5" t="s">
        <v>313</v>
      </c>
      <c r="D310" s="6">
        <f>IFERROR(__xludf.DUMMYFUNCTION("COUNTA(SPLIT(TRIM(C310),"" ""))"),153.0)</f>
        <v>153</v>
      </c>
      <c r="E310" s="7">
        <f t="shared" si="1"/>
        <v>77</v>
      </c>
      <c r="F310" s="7" t="str">
        <f t="shared" si="2"/>
        <v>309.mp3</v>
      </c>
      <c r="G310" s="8" t="s">
        <v>8</v>
      </c>
    </row>
    <row r="311" ht="14.25" customHeight="1">
      <c r="A311" s="1">
        <v>310.0</v>
      </c>
      <c r="B311" s="1">
        <v>104.0</v>
      </c>
      <c r="C311" s="5" t="s">
        <v>314</v>
      </c>
      <c r="D311" s="6">
        <f>IFERROR(__xludf.DUMMYFUNCTION("COUNTA(SPLIT(TRIM(C311),"" ""))"),25.0)</f>
        <v>25</v>
      </c>
      <c r="E311" s="7">
        <f t="shared" si="1"/>
        <v>13</v>
      </c>
      <c r="F311" s="7" t="str">
        <f t="shared" si="2"/>
        <v>310.mp3</v>
      </c>
      <c r="G311" s="8" t="s">
        <v>8</v>
      </c>
    </row>
    <row r="312" ht="14.25" customHeight="1">
      <c r="A312" s="1">
        <v>311.0</v>
      </c>
      <c r="B312" s="1">
        <v>104.0</v>
      </c>
      <c r="C312" s="5" t="s">
        <v>315</v>
      </c>
      <c r="D312" s="6">
        <f>IFERROR(__xludf.DUMMYFUNCTION("COUNTA(SPLIT(TRIM(C312),"" ""))"),87.0)</f>
        <v>87</v>
      </c>
      <c r="E312" s="7">
        <f t="shared" si="1"/>
        <v>44</v>
      </c>
      <c r="F312" s="7" t="str">
        <f t="shared" si="2"/>
        <v>311.mp3</v>
      </c>
      <c r="G312" s="8" t="s">
        <v>8</v>
      </c>
    </row>
    <row r="313" ht="14.25" customHeight="1">
      <c r="A313" s="1">
        <v>312.0</v>
      </c>
      <c r="B313" s="1">
        <v>104.0</v>
      </c>
      <c r="C313" s="5" t="s">
        <v>316</v>
      </c>
      <c r="D313" s="6">
        <f>IFERROR(__xludf.DUMMYFUNCTION("COUNTA(SPLIT(TRIM(C313),"" ""))"),155.0)</f>
        <v>155</v>
      </c>
      <c r="E313" s="7">
        <f t="shared" si="1"/>
        <v>78</v>
      </c>
      <c r="F313" s="7" t="str">
        <f t="shared" si="2"/>
        <v>312.mp3</v>
      </c>
      <c r="G313" s="8" t="s">
        <v>8</v>
      </c>
    </row>
    <row r="314" ht="14.25" customHeight="1">
      <c r="A314" s="1">
        <v>313.0</v>
      </c>
      <c r="B314" s="1">
        <v>105.0</v>
      </c>
      <c r="C314" s="5" t="s">
        <v>317</v>
      </c>
      <c r="D314" s="6">
        <f>IFERROR(__xludf.DUMMYFUNCTION("COUNTA(SPLIT(TRIM(C314),"" ""))"),25.0)</f>
        <v>25</v>
      </c>
      <c r="E314" s="7">
        <f t="shared" si="1"/>
        <v>13</v>
      </c>
      <c r="F314" s="7" t="str">
        <f t="shared" si="2"/>
        <v>313.mp3</v>
      </c>
      <c r="G314" s="8" t="s">
        <v>8</v>
      </c>
    </row>
    <row r="315" ht="14.25" customHeight="1">
      <c r="A315" s="1">
        <v>314.0</v>
      </c>
      <c r="B315" s="1">
        <v>105.0</v>
      </c>
      <c r="C315" s="5" t="s">
        <v>318</v>
      </c>
      <c r="D315" s="6">
        <f>IFERROR(__xludf.DUMMYFUNCTION("COUNTA(SPLIT(TRIM(C315),"" ""))"),86.0)</f>
        <v>86</v>
      </c>
      <c r="E315" s="7">
        <f t="shared" si="1"/>
        <v>43</v>
      </c>
      <c r="F315" s="7" t="str">
        <f t="shared" si="2"/>
        <v>314.mp3</v>
      </c>
      <c r="G315" s="8" t="s">
        <v>8</v>
      </c>
    </row>
    <row r="316" ht="14.25" customHeight="1">
      <c r="A316" s="1">
        <v>315.0</v>
      </c>
      <c r="B316" s="1">
        <v>105.0</v>
      </c>
      <c r="C316" s="5" t="s">
        <v>319</v>
      </c>
      <c r="D316" s="6">
        <f>IFERROR(__xludf.DUMMYFUNCTION("COUNTA(SPLIT(TRIM(C316),"" ""))"),133.0)</f>
        <v>133</v>
      </c>
      <c r="E316" s="7">
        <f t="shared" si="1"/>
        <v>67</v>
      </c>
      <c r="F316" s="7" t="str">
        <f t="shared" si="2"/>
        <v>315.mp3</v>
      </c>
      <c r="G316" s="8" t="s">
        <v>8</v>
      </c>
    </row>
    <row r="317" ht="14.25" customHeight="1">
      <c r="A317" s="1">
        <v>316.0</v>
      </c>
      <c r="B317" s="1">
        <v>106.0</v>
      </c>
      <c r="C317" s="5" t="s">
        <v>320</v>
      </c>
      <c r="D317" s="6">
        <f>IFERROR(__xludf.DUMMYFUNCTION("COUNTA(SPLIT(TRIM(C317),"" ""))"),24.0)</f>
        <v>24</v>
      </c>
      <c r="E317" s="7">
        <f t="shared" si="1"/>
        <v>12</v>
      </c>
      <c r="F317" s="7" t="str">
        <f t="shared" si="2"/>
        <v>316.mp3</v>
      </c>
      <c r="G317" s="8" t="s">
        <v>8</v>
      </c>
    </row>
    <row r="318" ht="14.25" customHeight="1">
      <c r="A318" s="1">
        <v>317.0</v>
      </c>
      <c r="B318" s="1">
        <v>106.0</v>
      </c>
      <c r="C318" s="5" t="s">
        <v>321</v>
      </c>
      <c r="D318" s="6">
        <f>IFERROR(__xludf.DUMMYFUNCTION("COUNTA(SPLIT(TRIM(C318),"" ""))"),104.0)</f>
        <v>104</v>
      </c>
      <c r="E318" s="7">
        <f t="shared" si="1"/>
        <v>52</v>
      </c>
      <c r="F318" s="7" t="str">
        <f t="shared" si="2"/>
        <v>317.mp3</v>
      </c>
      <c r="G318" s="8" t="s">
        <v>8</v>
      </c>
    </row>
    <row r="319" ht="14.25" customHeight="1">
      <c r="A319" s="1">
        <v>318.0</v>
      </c>
      <c r="B319" s="1">
        <v>106.0</v>
      </c>
      <c r="C319" s="5" t="s">
        <v>322</v>
      </c>
      <c r="D319" s="6">
        <f>IFERROR(__xludf.DUMMYFUNCTION("COUNTA(SPLIT(TRIM(C319),"" ""))"),161.0)</f>
        <v>161</v>
      </c>
      <c r="E319" s="7">
        <f t="shared" si="1"/>
        <v>81</v>
      </c>
      <c r="F319" s="7" t="str">
        <f t="shared" si="2"/>
        <v>318.mp3</v>
      </c>
      <c r="G319" s="8" t="s">
        <v>8</v>
      </c>
    </row>
    <row r="320" ht="14.25" customHeight="1">
      <c r="A320" s="1">
        <v>319.0</v>
      </c>
      <c r="B320" s="1">
        <v>107.0</v>
      </c>
      <c r="C320" s="5" t="s">
        <v>323</v>
      </c>
      <c r="D320" s="6">
        <f>IFERROR(__xludf.DUMMYFUNCTION("COUNTA(SPLIT(TRIM(C320),"" ""))"),27.0)</f>
        <v>27</v>
      </c>
      <c r="E320" s="7">
        <f t="shared" si="1"/>
        <v>14</v>
      </c>
      <c r="F320" s="7" t="str">
        <f t="shared" si="2"/>
        <v>319.mp3</v>
      </c>
      <c r="G320" s="8" t="s">
        <v>8</v>
      </c>
    </row>
    <row r="321" ht="14.25" customHeight="1">
      <c r="A321" s="1">
        <v>320.0</v>
      </c>
      <c r="B321" s="1">
        <v>107.0</v>
      </c>
      <c r="C321" s="5" t="s">
        <v>324</v>
      </c>
      <c r="D321" s="6">
        <f>IFERROR(__xludf.DUMMYFUNCTION("COUNTA(SPLIT(TRIM(C321),"" ""))"),94.0)</f>
        <v>94</v>
      </c>
      <c r="E321" s="7">
        <f t="shared" si="1"/>
        <v>47</v>
      </c>
      <c r="F321" s="7" t="str">
        <f t="shared" si="2"/>
        <v>320.mp3</v>
      </c>
      <c r="G321" s="8" t="s">
        <v>8</v>
      </c>
    </row>
    <row r="322" ht="14.25" customHeight="1">
      <c r="A322" s="1">
        <v>321.0</v>
      </c>
      <c r="B322" s="1">
        <v>107.0</v>
      </c>
      <c r="C322" s="5" t="s">
        <v>325</v>
      </c>
      <c r="D322" s="6">
        <f>IFERROR(__xludf.DUMMYFUNCTION("COUNTA(SPLIT(TRIM(C322),"" ""))"),149.0)</f>
        <v>149</v>
      </c>
      <c r="E322" s="7">
        <f t="shared" si="1"/>
        <v>75</v>
      </c>
      <c r="F322" s="7" t="str">
        <f t="shared" si="2"/>
        <v>321.mp3</v>
      </c>
      <c r="G322" s="8" t="s">
        <v>8</v>
      </c>
    </row>
    <row r="323" ht="14.25" customHeight="1">
      <c r="A323" s="1">
        <v>322.0</v>
      </c>
      <c r="B323" s="1">
        <v>108.0</v>
      </c>
      <c r="C323" s="5" t="s">
        <v>326</v>
      </c>
      <c r="D323" s="6">
        <f>IFERROR(__xludf.DUMMYFUNCTION("COUNTA(SPLIT(TRIM(C323),"" ""))"),26.0)</f>
        <v>26</v>
      </c>
      <c r="E323" s="7">
        <f t="shared" si="1"/>
        <v>13</v>
      </c>
      <c r="F323" s="7" t="str">
        <f t="shared" si="2"/>
        <v>322.mp3</v>
      </c>
      <c r="G323" s="8" t="s">
        <v>8</v>
      </c>
    </row>
    <row r="324" ht="14.25" customHeight="1">
      <c r="A324" s="1">
        <v>323.0</v>
      </c>
      <c r="B324" s="1">
        <v>108.0</v>
      </c>
      <c r="C324" s="5" t="s">
        <v>327</v>
      </c>
      <c r="D324" s="6">
        <f>IFERROR(__xludf.DUMMYFUNCTION("COUNTA(SPLIT(TRIM(C324),"" ""))"),89.0)</f>
        <v>89</v>
      </c>
      <c r="E324" s="7">
        <f t="shared" si="1"/>
        <v>45</v>
      </c>
      <c r="F324" s="7" t="str">
        <f t="shared" si="2"/>
        <v>323.mp3</v>
      </c>
      <c r="G324" s="8" t="s">
        <v>8</v>
      </c>
    </row>
    <row r="325" ht="14.25" customHeight="1">
      <c r="A325" s="1">
        <v>324.0</v>
      </c>
      <c r="B325" s="1">
        <v>108.0</v>
      </c>
      <c r="C325" s="5" t="s">
        <v>328</v>
      </c>
      <c r="D325" s="6">
        <f>IFERROR(__xludf.DUMMYFUNCTION("COUNTA(SPLIT(TRIM(C325),"" ""))"),166.0)</f>
        <v>166</v>
      </c>
      <c r="E325" s="7">
        <f t="shared" si="1"/>
        <v>83</v>
      </c>
      <c r="F325" s="7" t="str">
        <f t="shared" si="2"/>
        <v>324.mp3</v>
      </c>
      <c r="G325" s="8" t="s">
        <v>8</v>
      </c>
    </row>
    <row r="326" ht="14.25" customHeight="1">
      <c r="A326" s="1">
        <v>325.0</v>
      </c>
      <c r="B326" s="1">
        <v>109.0</v>
      </c>
      <c r="C326" s="5" t="s">
        <v>329</v>
      </c>
      <c r="D326" s="6">
        <f>IFERROR(__xludf.DUMMYFUNCTION("COUNTA(SPLIT(TRIM(C326),"" ""))"),28.0)</f>
        <v>28</v>
      </c>
      <c r="E326" s="7">
        <f t="shared" si="1"/>
        <v>14</v>
      </c>
      <c r="F326" s="7" t="str">
        <f t="shared" si="2"/>
        <v>325.mp3</v>
      </c>
      <c r="G326" s="8" t="s">
        <v>8</v>
      </c>
    </row>
    <row r="327" ht="14.25" customHeight="1">
      <c r="A327" s="1">
        <v>326.0</v>
      </c>
      <c r="B327" s="1">
        <v>109.0</v>
      </c>
      <c r="C327" s="5" t="s">
        <v>330</v>
      </c>
      <c r="D327" s="6">
        <f>IFERROR(__xludf.DUMMYFUNCTION("COUNTA(SPLIT(TRIM(C327),"" ""))"),94.0)</f>
        <v>94</v>
      </c>
      <c r="E327" s="7">
        <f t="shared" si="1"/>
        <v>47</v>
      </c>
      <c r="F327" s="7" t="str">
        <f t="shared" si="2"/>
        <v>326.mp3</v>
      </c>
      <c r="G327" s="8" t="s">
        <v>8</v>
      </c>
    </row>
    <row r="328" ht="14.25" customHeight="1">
      <c r="A328" s="1">
        <v>327.0</v>
      </c>
      <c r="B328" s="1">
        <v>109.0</v>
      </c>
      <c r="C328" s="5" t="s">
        <v>331</v>
      </c>
      <c r="D328" s="6">
        <f>IFERROR(__xludf.DUMMYFUNCTION("COUNTA(SPLIT(TRIM(C328),"" ""))"),145.0)</f>
        <v>145</v>
      </c>
      <c r="E328" s="7">
        <f t="shared" si="1"/>
        <v>73</v>
      </c>
      <c r="F328" s="7" t="str">
        <f t="shared" si="2"/>
        <v>327.mp3</v>
      </c>
      <c r="G328" s="8" t="s">
        <v>8</v>
      </c>
    </row>
    <row r="329" ht="14.25" customHeight="1">
      <c r="A329" s="1">
        <v>328.0</v>
      </c>
      <c r="B329" s="1">
        <v>110.0</v>
      </c>
      <c r="C329" s="5" t="s">
        <v>332</v>
      </c>
      <c r="D329" s="6">
        <f>IFERROR(__xludf.DUMMYFUNCTION("COUNTA(SPLIT(TRIM(C329),"" ""))"),27.0)</f>
        <v>27</v>
      </c>
      <c r="E329" s="7">
        <f t="shared" si="1"/>
        <v>14</v>
      </c>
      <c r="F329" s="7" t="str">
        <f t="shared" si="2"/>
        <v>328.mp3</v>
      </c>
      <c r="G329" s="8" t="s">
        <v>8</v>
      </c>
    </row>
    <row r="330" ht="14.25" customHeight="1">
      <c r="A330" s="1">
        <v>329.0</v>
      </c>
      <c r="B330" s="1">
        <v>110.0</v>
      </c>
      <c r="C330" s="5" t="s">
        <v>333</v>
      </c>
      <c r="D330" s="6">
        <f>IFERROR(__xludf.DUMMYFUNCTION("COUNTA(SPLIT(TRIM(C330),"" ""))"),91.0)</f>
        <v>91</v>
      </c>
      <c r="E330" s="7">
        <f t="shared" si="1"/>
        <v>46</v>
      </c>
      <c r="F330" s="7" t="str">
        <f t="shared" si="2"/>
        <v>329.mp3</v>
      </c>
      <c r="G330" s="8" t="s">
        <v>8</v>
      </c>
    </row>
    <row r="331" ht="14.25" customHeight="1">
      <c r="A331" s="1">
        <v>330.0</v>
      </c>
      <c r="B331" s="1">
        <v>110.0</v>
      </c>
      <c r="C331" s="5" t="s">
        <v>334</v>
      </c>
      <c r="D331" s="6">
        <f>IFERROR(__xludf.DUMMYFUNCTION("COUNTA(SPLIT(TRIM(C331),"" ""))"),162.0)</f>
        <v>162</v>
      </c>
      <c r="E331" s="7">
        <f t="shared" si="1"/>
        <v>81</v>
      </c>
      <c r="F331" s="7" t="str">
        <f t="shared" si="2"/>
        <v>330.mp3</v>
      </c>
      <c r="G331" s="8" t="s">
        <v>8</v>
      </c>
    </row>
    <row r="332" ht="14.25" customHeight="1">
      <c r="A332" s="1">
        <v>331.0</v>
      </c>
      <c r="B332" s="1">
        <v>111.0</v>
      </c>
      <c r="C332" s="5" t="s">
        <v>335</v>
      </c>
      <c r="D332" s="6">
        <f>IFERROR(__xludf.DUMMYFUNCTION("COUNTA(SPLIT(TRIM(C332),"" ""))"),25.0)</f>
        <v>25</v>
      </c>
      <c r="E332" s="7">
        <f t="shared" si="1"/>
        <v>13</v>
      </c>
      <c r="F332" s="7" t="str">
        <f t="shared" si="2"/>
        <v>331.mp3</v>
      </c>
      <c r="G332" s="8" t="s">
        <v>8</v>
      </c>
    </row>
    <row r="333" ht="14.25" customHeight="1">
      <c r="A333" s="1">
        <v>332.0</v>
      </c>
      <c r="B333" s="1">
        <v>111.0</v>
      </c>
      <c r="C333" s="5" t="s">
        <v>336</v>
      </c>
      <c r="D333" s="6">
        <f>IFERROR(__xludf.DUMMYFUNCTION("COUNTA(SPLIT(TRIM(C333),"" ""))"),101.0)</f>
        <v>101</v>
      </c>
      <c r="E333" s="7">
        <f t="shared" si="1"/>
        <v>51</v>
      </c>
      <c r="F333" s="7" t="str">
        <f t="shared" si="2"/>
        <v>332.mp3</v>
      </c>
      <c r="G333" s="8" t="s">
        <v>8</v>
      </c>
    </row>
    <row r="334" ht="14.25" customHeight="1">
      <c r="A334" s="1">
        <v>333.0</v>
      </c>
      <c r="B334" s="1">
        <v>111.0</v>
      </c>
      <c r="C334" s="5" t="s">
        <v>337</v>
      </c>
      <c r="D334" s="6">
        <f>IFERROR(__xludf.DUMMYFUNCTION("COUNTA(SPLIT(TRIM(C334),"" ""))"),165.0)</f>
        <v>165</v>
      </c>
      <c r="E334" s="7">
        <f t="shared" si="1"/>
        <v>83</v>
      </c>
      <c r="F334" s="7" t="str">
        <f t="shared" si="2"/>
        <v>333.mp3</v>
      </c>
      <c r="G334" s="8" t="s">
        <v>8</v>
      </c>
    </row>
    <row r="335" ht="14.25" customHeight="1">
      <c r="A335" s="1">
        <v>334.0</v>
      </c>
      <c r="B335" s="1">
        <v>112.0</v>
      </c>
      <c r="C335" s="5" t="s">
        <v>338</v>
      </c>
      <c r="D335" s="6">
        <f>IFERROR(__xludf.DUMMYFUNCTION("COUNTA(SPLIT(TRIM(C335),"" ""))"),25.0)</f>
        <v>25</v>
      </c>
      <c r="E335" s="7">
        <f t="shared" si="1"/>
        <v>13</v>
      </c>
      <c r="F335" s="7" t="str">
        <f t="shared" si="2"/>
        <v>334.mp3</v>
      </c>
      <c r="G335" s="8" t="s">
        <v>8</v>
      </c>
    </row>
    <row r="336" ht="14.25" customHeight="1">
      <c r="A336" s="1">
        <v>335.0</v>
      </c>
      <c r="B336" s="1">
        <v>112.0</v>
      </c>
      <c r="C336" s="5" t="s">
        <v>339</v>
      </c>
      <c r="D336" s="6">
        <f>IFERROR(__xludf.DUMMYFUNCTION("COUNTA(SPLIT(TRIM(C336),"" ""))"),101.0)</f>
        <v>101</v>
      </c>
      <c r="E336" s="7">
        <f t="shared" si="1"/>
        <v>51</v>
      </c>
      <c r="F336" s="7" t="str">
        <f t="shared" si="2"/>
        <v>335.mp3</v>
      </c>
      <c r="G336" s="8" t="s">
        <v>8</v>
      </c>
    </row>
    <row r="337" ht="14.25" customHeight="1">
      <c r="A337" s="1">
        <v>336.0</v>
      </c>
      <c r="B337" s="1">
        <v>112.0</v>
      </c>
      <c r="C337" s="5" t="s">
        <v>340</v>
      </c>
      <c r="D337" s="6">
        <f>IFERROR(__xludf.DUMMYFUNCTION("COUNTA(SPLIT(TRIM(C337),"" ""))"),160.0)</f>
        <v>160</v>
      </c>
      <c r="E337" s="7">
        <f t="shared" si="1"/>
        <v>80</v>
      </c>
      <c r="F337" s="7" t="str">
        <f t="shared" si="2"/>
        <v>336.mp3</v>
      </c>
      <c r="G337" s="8" t="s">
        <v>8</v>
      </c>
    </row>
    <row r="338" ht="14.25" customHeight="1">
      <c r="A338" s="1">
        <v>337.0</v>
      </c>
      <c r="B338" s="1">
        <v>113.0</v>
      </c>
      <c r="C338" s="5" t="s">
        <v>341</v>
      </c>
      <c r="D338" s="6">
        <f>IFERROR(__xludf.DUMMYFUNCTION("COUNTA(SPLIT(TRIM(C338),"" ""))"),28.0)</f>
        <v>28</v>
      </c>
      <c r="E338" s="7">
        <f t="shared" si="1"/>
        <v>14</v>
      </c>
      <c r="F338" s="7" t="str">
        <f t="shared" si="2"/>
        <v>337.mp3</v>
      </c>
      <c r="G338" s="8" t="s">
        <v>8</v>
      </c>
    </row>
    <row r="339" ht="14.25" customHeight="1">
      <c r="A339" s="1">
        <v>338.0</v>
      </c>
      <c r="B339" s="1">
        <v>113.0</v>
      </c>
      <c r="C339" s="5" t="s">
        <v>342</v>
      </c>
      <c r="D339" s="6">
        <f>IFERROR(__xludf.DUMMYFUNCTION("COUNTA(SPLIT(TRIM(C339),"" ""))"),127.0)</f>
        <v>127</v>
      </c>
      <c r="E339" s="7">
        <f t="shared" si="1"/>
        <v>64</v>
      </c>
      <c r="F339" s="7" t="str">
        <f t="shared" si="2"/>
        <v>338.mp3</v>
      </c>
      <c r="G339" s="8" t="s">
        <v>8</v>
      </c>
    </row>
    <row r="340" ht="14.25" customHeight="1">
      <c r="A340" s="1">
        <v>339.0</v>
      </c>
      <c r="B340" s="1">
        <v>113.0</v>
      </c>
      <c r="C340" s="5" t="s">
        <v>343</v>
      </c>
      <c r="D340" s="6">
        <f>IFERROR(__xludf.DUMMYFUNCTION("COUNTA(SPLIT(TRIM(C340),"" ""))"),169.0)</f>
        <v>169</v>
      </c>
      <c r="E340" s="7">
        <f t="shared" si="1"/>
        <v>85</v>
      </c>
      <c r="F340" s="7" t="str">
        <f t="shared" si="2"/>
        <v>339.mp3</v>
      </c>
      <c r="G340" s="8" t="s">
        <v>8</v>
      </c>
    </row>
    <row r="341" ht="14.25" customHeight="1">
      <c r="A341" s="1">
        <v>340.0</v>
      </c>
      <c r="B341" s="1">
        <v>114.0</v>
      </c>
      <c r="C341" s="5" t="s">
        <v>344</v>
      </c>
      <c r="D341" s="6">
        <f>IFERROR(__xludf.DUMMYFUNCTION("COUNTA(SPLIT(TRIM(C341),"" ""))"),27.0)</f>
        <v>27</v>
      </c>
      <c r="E341" s="7">
        <f t="shared" si="1"/>
        <v>14</v>
      </c>
      <c r="F341" s="7" t="str">
        <f t="shared" si="2"/>
        <v>340.mp3</v>
      </c>
      <c r="G341" s="8" t="s">
        <v>8</v>
      </c>
    </row>
    <row r="342" ht="14.25" customHeight="1">
      <c r="A342" s="1">
        <v>341.0</v>
      </c>
      <c r="B342" s="1">
        <v>114.0</v>
      </c>
      <c r="C342" s="5" t="s">
        <v>345</v>
      </c>
      <c r="D342" s="6">
        <f>IFERROR(__xludf.DUMMYFUNCTION("COUNTA(SPLIT(TRIM(C342),"" ""))"),110.0)</f>
        <v>110</v>
      </c>
      <c r="E342" s="7">
        <f t="shared" si="1"/>
        <v>55</v>
      </c>
      <c r="F342" s="7" t="str">
        <f t="shared" si="2"/>
        <v>341.mp3</v>
      </c>
      <c r="G342" s="8" t="s">
        <v>8</v>
      </c>
    </row>
    <row r="343" ht="14.25" customHeight="1">
      <c r="A343" s="1">
        <v>342.0</v>
      </c>
      <c r="B343" s="1">
        <v>114.0</v>
      </c>
      <c r="C343" s="5" t="s">
        <v>346</v>
      </c>
      <c r="D343" s="6">
        <f>IFERROR(__xludf.DUMMYFUNCTION("COUNTA(SPLIT(TRIM(C343),"" ""))"),156.0)</f>
        <v>156</v>
      </c>
      <c r="E343" s="7">
        <f t="shared" si="1"/>
        <v>78</v>
      </c>
      <c r="F343" s="7" t="str">
        <f t="shared" si="2"/>
        <v>342.mp3</v>
      </c>
      <c r="G343" s="8" t="s">
        <v>8</v>
      </c>
    </row>
    <row r="344" ht="14.25" customHeight="1">
      <c r="A344" s="1">
        <v>343.0</v>
      </c>
      <c r="B344" s="1">
        <v>115.0</v>
      </c>
      <c r="C344" s="5" t="s">
        <v>347</v>
      </c>
      <c r="D344" s="6">
        <f>IFERROR(__xludf.DUMMYFUNCTION("COUNTA(SPLIT(TRIM(C344),"" ""))"),27.0)</f>
        <v>27</v>
      </c>
      <c r="E344" s="7">
        <f t="shared" si="1"/>
        <v>14</v>
      </c>
      <c r="F344" s="7" t="str">
        <f t="shared" si="2"/>
        <v>343.mp3</v>
      </c>
      <c r="G344" s="8" t="s">
        <v>8</v>
      </c>
    </row>
    <row r="345" ht="14.25" customHeight="1">
      <c r="A345" s="1">
        <v>344.0</v>
      </c>
      <c r="B345" s="1">
        <v>115.0</v>
      </c>
      <c r="C345" s="5" t="s">
        <v>348</v>
      </c>
      <c r="D345" s="6">
        <f>IFERROR(__xludf.DUMMYFUNCTION("COUNTA(SPLIT(TRIM(C345),"" ""))"),108.0)</f>
        <v>108</v>
      </c>
      <c r="E345" s="7">
        <f t="shared" si="1"/>
        <v>54</v>
      </c>
      <c r="F345" s="7" t="str">
        <f t="shared" si="2"/>
        <v>344.mp3</v>
      </c>
      <c r="G345" s="8" t="s">
        <v>8</v>
      </c>
    </row>
    <row r="346" ht="14.25" customHeight="1">
      <c r="A346" s="1">
        <v>345.0</v>
      </c>
      <c r="B346" s="1">
        <v>115.0</v>
      </c>
      <c r="C346" s="5" t="s">
        <v>349</v>
      </c>
      <c r="D346" s="6">
        <f>IFERROR(__xludf.DUMMYFUNCTION("COUNTA(SPLIT(TRIM(C346),"" ""))"),147.0)</f>
        <v>147</v>
      </c>
      <c r="E346" s="7">
        <f t="shared" si="1"/>
        <v>74</v>
      </c>
      <c r="F346" s="7" t="str">
        <f t="shared" si="2"/>
        <v>345.mp3</v>
      </c>
      <c r="G346" s="8" t="s">
        <v>8</v>
      </c>
    </row>
    <row r="347" ht="14.25" customHeight="1">
      <c r="A347" s="1">
        <v>346.0</v>
      </c>
      <c r="B347" s="1">
        <v>116.0</v>
      </c>
      <c r="C347" s="5" t="s">
        <v>350</v>
      </c>
      <c r="D347" s="6">
        <f>IFERROR(__xludf.DUMMYFUNCTION("COUNTA(SPLIT(TRIM(C347),"" ""))"),27.0)</f>
        <v>27</v>
      </c>
      <c r="E347" s="7">
        <f t="shared" si="1"/>
        <v>14</v>
      </c>
      <c r="F347" s="7" t="str">
        <f t="shared" si="2"/>
        <v>346.mp3</v>
      </c>
      <c r="G347" s="8" t="s">
        <v>8</v>
      </c>
    </row>
    <row r="348" ht="14.25" customHeight="1">
      <c r="A348" s="1">
        <v>347.0</v>
      </c>
      <c r="B348" s="1">
        <v>116.0</v>
      </c>
      <c r="C348" s="5" t="s">
        <v>351</v>
      </c>
      <c r="D348" s="6">
        <f>IFERROR(__xludf.DUMMYFUNCTION("COUNTA(SPLIT(TRIM(C348),"" ""))"),101.0)</f>
        <v>101</v>
      </c>
      <c r="E348" s="7">
        <f t="shared" si="1"/>
        <v>51</v>
      </c>
      <c r="F348" s="7" t="str">
        <f t="shared" si="2"/>
        <v>347.mp3</v>
      </c>
      <c r="G348" s="8" t="s">
        <v>8</v>
      </c>
    </row>
    <row r="349" ht="14.25" customHeight="1">
      <c r="A349" s="1">
        <v>348.0</v>
      </c>
      <c r="B349" s="1">
        <v>116.0</v>
      </c>
      <c r="C349" s="5" t="s">
        <v>352</v>
      </c>
      <c r="D349" s="6">
        <f>IFERROR(__xludf.DUMMYFUNCTION("COUNTA(SPLIT(TRIM(C349),"" ""))"),148.0)</f>
        <v>148</v>
      </c>
      <c r="E349" s="7">
        <f t="shared" si="1"/>
        <v>74</v>
      </c>
      <c r="F349" s="7" t="str">
        <f t="shared" si="2"/>
        <v>348.mp3</v>
      </c>
      <c r="G349" s="8" t="s">
        <v>8</v>
      </c>
    </row>
    <row r="350" ht="14.25" customHeight="1">
      <c r="A350" s="1">
        <v>349.0</v>
      </c>
      <c r="B350" s="1">
        <v>117.0</v>
      </c>
      <c r="C350" s="5" t="s">
        <v>353</v>
      </c>
      <c r="D350" s="6">
        <f>IFERROR(__xludf.DUMMYFUNCTION("COUNTA(SPLIT(TRIM(C350),"" ""))"),30.0)</f>
        <v>30</v>
      </c>
      <c r="E350" s="7">
        <f t="shared" si="1"/>
        <v>15</v>
      </c>
      <c r="F350" s="7" t="str">
        <f t="shared" si="2"/>
        <v>349.mp3</v>
      </c>
      <c r="G350" s="8" t="s">
        <v>8</v>
      </c>
    </row>
    <row r="351" ht="14.25" customHeight="1">
      <c r="A351" s="1">
        <v>350.0</v>
      </c>
      <c r="B351" s="1">
        <v>117.0</v>
      </c>
      <c r="C351" s="5" t="s">
        <v>354</v>
      </c>
      <c r="D351" s="6">
        <f>IFERROR(__xludf.DUMMYFUNCTION("COUNTA(SPLIT(TRIM(C351),"" ""))"),99.0)</f>
        <v>99</v>
      </c>
      <c r="E351" s="7">
        <f t="shared" si="1"/>
        <v>50</v>
      </c>
      <c r="F351" s="7" t="str">
        <f t="shared" si="2"/>
        <v>350.mp3</v>
      </c>
      <c r="G351" s="8" t="s">
        <v>8</v>
      </c>
    </row>
    <row r="352" ht="14.25" customHeight="1">
      <c r="A352" s="1">
        <v>351.0</v>
      </c>
      <c r="B352" s="1">
        <v>117.0</v>
      </c>
      <c r="C352" s="5" t="s">
        <v>355</v>
      </c>
      <c r="D352" s="6">
        <f>IFERROR(__xludf.DUMMYFUNCTION("COUNTA(SPLIT(TRIM(C352),"" ""))"),165.0)</f>
        <v>165</v>
      </c>
      <c r="E352" s="7">
        <f t="shared" si="1"/>
        <v>83</v>
      </c>
      <c r="F352" s="7" t="str">
        <f t="shared" si="2"/>
        <v>351.mp3</v>
      </c>
      <c r="G352" s="8" t="s">
        <v>8</v>
      </c>
    </row>
    <row r="353" ht="14.25" customHeight="1">
      <c r="A353" s="1">
        <v>352.0</v>
      </c>
      <c r="B353" s="1">
        <v>118.0</v>
      </c>
      <c r="C353" s="5" t="s">
        <v>356</v>
      </c>
      <c r="D353" s="6">
        <f>IFERROR(__xludf.DUMMYFUNCTION("COUNTA(SPLIT(TRIM(C353),"" ""))"),25.0)</f>
        <v>25</v>
      </c>
      <c r="E353" s="7">
        <f t="shared" si="1"/>
        <v>13</v>
      </c>
      <c r="F353" s="7" t="str">
        <f t="shared" si="2"/>
        <v>352.mp3</v>
      </c>
      <c r="G353" s="8" t="s">
        <v>8</v>
      </c>
    </row>
    <row r="354" ht="14.25" customHeight="1">
      <c r="A354" s="1">
        <v>353.0</v>
      </c>
      <c r="B354" s="1">
        <v>118.0</v>
      </c>
      <c r="C354" s="5" t="s">
        <v>357</v>
      </c>
      <c r="D354" s="6">
        <f>IFERROR(__xludf.DUMMYFUNCTION("COUNTA(SPLIT(TRIM(C354),"" ""))"),103.0)</f>
        <v>103</v>
      </c>
      <c r="E354" s="7">
        <f t="shared" si="1"/>
        <v>52</v>
      </c>
      <c r="F354" s="7" t="str">
        <f t="shared" si="2"/>
        <v>353.mp3</v>
      </c>
      <c r="G354" s="8" t="s">
        <v>8</v>
      </c>
    </row>
    <row r="355" ht="14.25" customHeight="1">
      <c r="A355" s="1">
        <v>354.0</v>
      </c>
      <c r="B355" s="1">
        <v>118.0</v>
      </c>
      <c r="C355" s="5" t="s">
        <v>358</v>
      </c>
      <c r="D355" s="6">
        <f>IFERROR(__xludf.DUMMYFUNCTION("COUNTA(SPLIT(TRIM(C355),"" ""))"),167.0)</f>
        <v>167</v>
      </c>
      <c r="E355" s="7">
        <f t="shared" si="1"/>
        <v>84</v>
      </c>
      <c r="F355" s="7" t="str">
        <f t="shared" si="2"/>
        <v>354.mp3</v>
      </c>
      <c r="G355" s="8" t="s">
        <v>8</v>
      </c>
    </row>
    <row r="356" ht="14.25" customHeight="1">
      <c r="A356" s="1">
        <v>355.0</v>
      </c>
      <c r="B356" s="1">
        <v>119.0</v>
      </c>
      <c r="C356" s="5" t="s">
        <v>359</v>
      </c>
      <c r="D356" s="6">
        <f>IFERROR(__xludf.DUMMYFUNCTION("COUNTA(SPLIT(TRIM(C356),"" ""))"),25.0)</f>
        <v>25</v>
      </c>
      <c r="E356" s="7">
        <f t="shared" si="1"/>
        <v>13</v>
      </c>
      <c r="F356" s="7" t="str">
        <f t="shared" si="2"/>
        <v>355.mp3</v>
      </c>
      <c r="G356" s="8" t="s">
        <v>8</v>
      </c>
    </row>
    <row r="357" ht="14.25" customHeight="1">
      <c r="A357" s="1">
        <v>356.0</v>
      </c>
      <c r="B357" s="1">
        <v>119.0</v>
      </c>
      <c r="C357" s="5" t="s">
        <v>360</v>
      </c>
      <c r="D357" s="6">
        <f>IFERROR(__xludf.DUMMYFUNCTION("COUNTA(SPLIT(TRIM(C357),"" ""))"),103.0)</f>
        <v>103</v>
      </c>
      <c r="E357" s="7">
        <f t="shared" si="1"/>
        <v>52</v>
      </c>
      <c r="F357" s="7" t="str">
        <f t="shared" si="2"/>
        <v>356.mp3</v>
      </c>
      <c r="G357" s="8" t="s">
        <v>8</v>
      </c>
    </row>
    <row r="358" ht="14.25" customHeight="1">
      <c r="A358" s="1">
        <v>357.0</v>
      </c>
      <c r="B358" s="1">
        <v>119.0</v>
      </c>
      <c r="C358" s="5" t="s">
        <v>361</v>
      </c>
      <c r="D358" s="6">
        <f>IFERROR(__xludf.DUMMYFUNCTION("COUNTA(SPLIT(TRIM(C358),"" ""))"),175.0)</f>
        <v>175</v>
      </c>
      <c r="E358" s="7">
        <f t="shared" si="1"/>
        <v>88</v>
      </c>
      <c r="F358" s="7" t="str">
        <f t="shared" si="2"/>
        <v>357.mp3</v>
      </c>
      <c r="G358" s="8" t="s">
        <v>8</v>
      </c>
    </row>
    <row r="359" ht="14.25" customHeight="1">
      <c r="A359" s="1">
        <v>358.0</v>
      </c>
      <c r="B359" s="1">
        <v>120.0</v>
      </c>
      <c r="C359" s="5" t="s">
        <v>362</v>
      </c>
      <c r="D359" s="6">
        <f>IFERROR(__xludf.DUMMYFUNCTION("COUNTA(SPLIT(TRIM(C359),"" ""))"),24.0)</f>
        <v>24</v>
      </c>
      <c r="E359" s="7">
        <f t="shared" si="1"/>
        <v>12</v>
      </c>
      <c r="F359" s="7" t="str">
        <f t="shared" si="2"/>
        <v>358.mp3</v>
      </c>
      <c r="G359" s="8" t="s">
        <v>8</v>
      </c>
    </row>
    <row r="360" ht="14.25" customHeight="1">
      <c r="A360" s="1">
        <v>359.0</v>
      </c>
      <c r="B360" s="1">
        <v>120.0</v>
      </c>
      <c r="C360" s="5" t="s">
        <v>363</v>
      </c>
      <c r="D360" s="6">
        <f>IFERROR(__xludf.DUMMYFUNCTION("COUNTA(SPLIT(TRIM(C360),"" ""))"),99.0)</f>
        <v>99</v>
      </c>
      <c r="E360" s="7">
        <f t="shared" si="1"/>
        <v>50</v>
      </c>
      <c r="F360" s="7" t="str">
        <f t="shared" si="2"/>
        <v>359.mp3</v>
      </c>
      <c r="G360" s="8" t="s">
        <v>8</v>
      </c>
    </row>
    <row r="361" ht="14.25" customHeight="1">
      <c r="A361" s="1">
        <v>360.0</v>
      </c>
      <c r="B361" s="1">
        <v>120.0</v>
      </c>
      <c r="C361" s="5" t="s">
        <v>364</v>
      </c>
      <c r="D361" s="6">
        <f>IFERROR(__xludf.DUMMYFUNCTION("COUNTA(SPLIT(TRIM(C361),"" ""))"),163.0)</f>
        <v>163</v>
      </c>
      <c r="E361" s="7">
        <f t="shared" si="1"/>
        <v>82</v>
      </c>
      <c r="F361" s="7" t="str">
        <f t="shared" si="2"/>
        <v>360.mp3</v>
      </c>
      <c r="G361" s="8" t="s">
        <v>8</v>
      </c>
    </row>
    <row r="362" ht="14.25" customHeight="1">
      <c r="A362" s="1">
        <v>361.0</v>
      </c>
      <c r="B362" s="1">
        <v>121.0</v>
      </c>
      <c r="C362" s="5" t="s">
        <v>365</v>
      </c>
      <c r="D362" s="6">
        <f>IFERROR(__xludf.DUMMYFUNCTION("COUNTA(SPLIT(TRIM(C362),"" ""))"),27.0)</f>
        <v>27</v>
      </c>
      <c r="E362" s="7">
        <f t="shared" si="1"/>
        <v>14</v>
      </c>
      <c r="F362" s="7" t="str">
        <f t="shared" si="2"/>
        <v>361.mp3</v>
      </c>
      <c r="G362" s="8" t="s">
        <v>8</v>
      </c>
    </row>
    <row r="363" ht="14.25" customHeight="1">
      <c r="A363" s="1">
        <v>362.0</v>
      </c>
      <c r="B363" s="1">
        <v>121.0</v>
      </c>
      <c r="C363" s="5" t="s">
        <v>366</v>
      </c>
      <c r="D363" s="6">
        <f>IFERROR(__xludf.DUMMYFUNCTION("COUNTA(SPLIT(TRIM(C363),"" ""))"),91.0)</f>
        <v>91</v>
      </c>
      <c r="E363" s="7">
        <f t="shared" si="1"/>
        <v>46</v>
      </c>
      <c r="F363" s="7" t="str">
        <f t="shared" si="2"/>
        <v>362.mp3</v>
      </c>
      <c r="G363" s="8" t="s">
        <v>8</v>
      </c>
    </row>
    <row r="364" ht="14.25" customHeight="1">
      <c r="A364" s="1">
        <v>363.0</v>
      </c>
      <c r="B364" s="1">
        <v>121.0</v>
      </c>
      <c r="C364" s="5" t="s">
        <v>367</v>
      </c>
      <c r="D364" s="6">
        <f>IFERROR(__xludf.DUMMYFUNCTION("COUNTA(SPLIT(TRIM(C364),"" ""))"),154.0)</f>
        <v>154</v>
      </c>
      <c r="E364" s="7">
        <f t="shared" si="1"/>
        <v>77</v>
      </c>
      <c r="F364" s="7" t="str">
        <f t="shared" si="2"/>
        <v>363.mp3</v>
      </c>
      <c r="G364" s="8" t="s">
        <v>8</v>
      </c>
    </row>
    <row r="365" ht="14.25" customHeight="1">
      <c r="A365" s="1">
        <v>364.0</v>
      </c>
      <c r="B365" s="1">
        <v>122.0</v>
      </c>
      <c r="C365" s="5" t="s">
        <v>368</v>
      </c>
      <c r="D365" s="6">
        <f>IFERROR(__xludf.DUMMYFUNCTION("COUNTA(SPLIT(TRIM(C365),"" ""))"),26.0)</f>
        <v>26</v>
      </c>
      <c r="E365" s="7">
        <f t="shared" si="1"/>
        <v>13</v>
      </c>
      <c r="F365" s="7" t="str">
        <f t="shared" si="2"/>
        <v>364.mp3</v>
      </c>
      <c r="G365" s="8" t="s">
        <v>8</v>
      </c>
    </row>
    <row r="366" ht="14.25" customHeight="1">
      <c r="A366" s="1">
        <v>365.0</v>
      </c>
      <c r="B366" s="1">
        <v>122.0</v>
      </c>
      <c r="C366" s="5" t="s">
        <v>369</v>
      </c>
      <c r="D366" s="6">
        <f>IFERROR(__xludf.DUMMYFUNCTION("COUNTA(SPLIT(TRIM(C366),"" ""))"),97.0)</f>
        <v>97</v>
      </c>
      <c r="E366" s="7">
        <f t="shared" si="1"/>
        <v>49</v>
      </c>
      <c r="F366" s="7" t="str">
        <f t="shared" si="2"/>
        <v>365.mp3</v>
      </c>
      <c r="G366" s="8" t="s">
        <v>8</v>
      </c>
    </row>
    <row r="367" ht="14.25" customHeight="1">
      <c r="A367" s="1">
        <v>366.0</v>
      </c>
      <c r="B367" s="1">
        <v>122.0</v>
      </c>
      <c r="C367" s="5" t="s">
        <v>370</v>
      </c>
      <c r="D367" s="6">
        <f>IFERROR(__xludf.DUMMYFUNCTION("COUNTA(SPLIT(TRIM(C367),"" ""))"),169.0)</f>
        <v>169</v>
      </c>
      <c r="E367" s="7">
        <f t="shared" si="1"/>
        <v>85</v>
      </c>
      <c r="F367" s="7" t="str">
        <f t="shared" si="2"/>
        <v>366.mp3</v>
      </c>
      <c r="G367" s="8" t="s">
        <v>8</v>
      </c>
    </row>
    <row r="368" ht="14.25" customHeight="1">
      <c r="A368" s="1">
        <v>367.0</v>
      </c>
      <c r="B368" s="1">
        <v>123.0</v>
      </c>
      <c r="C368" s="5" t="s">
        <v>371</v>
      </c>
      <c r="D368" s="6">
        <f>IFERROR(__xludf.DUMMYFUNCTION("COUNTA(SPLIT(TRIM(C368),"" ""))"),26.0)</f>
        <v>26</v>
      </c>
      <c r="E368" s="7">
        <f t="shared" si="1"/>
        <v>13</v>
      </c>
      <c r="F368" s="7" t="str">
        <f t="shared" si="2"/>
        <v>367.mp3</v>
      </c>
      <c r="G368" s="8" t="s">
        <v>8</v>
      </c>
    </row>
    <row r="369" ht="14.25" customHeight="1">
      <c r="A369" s="1">
        <v>368.0</v>
      </c>
      <c r="B369" s="1">
        <v>123.0</v>
      </c>
      <c r="C369" s="5" t="s">
        <v>372</v>
      </c>
      <c r="D369" s="6">
        <f>IFERROR(__xludf.DUMMYFUNCTION("COUNTA(SPLIT(TRIM(C369),"" ""))"),101.0)</f>
        <v>101</v>
      </c>
      <c r="E369" s="7">
        <f t="shared" si="1"/>
        <v>51</v>
      </c>
      <c r="F369" s="7" t="str">
        <f t="shared" si="2"/>
        <v>368.mp3</v>
      </c>
      <c r="G369" s="8" t="s">
        <v>8</v>
      </c>
    </row>
    <row r="370" ht="14.25" customHeight="1">
      <c r="A370" s="1">
        <v>369.0</v>
      </c>
      <c r="B370" s="1">
        <v>123.0</v>
      </c>
      <c r="C370" s="5" t="s">
        <v>373</v>
      </c>
      <c r="D370" s="6">
        <f>IFERROR(__xludf.DUMMYFUNCTION("COUNTA(SPLIT(TRIM(C370),"" ""))"),198.0)</f>
        <v>198</v>
      </c>
      <c r="E370" s="7">
        <f t="shared" si="1"/>
        <v>99</v>
      </c>
      <c r="F370" s="7" t="str">
        <f t="shared" si="2"/>
        <v>369.mp3</v>
      </c>
      <c r="G370" s="8" t="s">
        <v>8</v>
      </c>
    </row>
    <row r="371" ht="14.25" customHeight="1">
      <c r="A371" s="1">
        <v>370.0</v>
      </c>
      <c r="B371" s="1">
        <v>124.0</v>
      </c>
      <c r="C371" s="5" t="s">
        <v>374</v>
      </c>
      <c r="D371" s="6">
        <f>IFERROR(__xludf.DUMMYFUNCTION("COUNTA(SPLIT(TRIM(C371),"" ""))"),25.0)</f>
        <v>25</v>
      </c>
      <c r="E371" s="7">
        <f t="shared" si="1"/>
        <v>13</v>
      </c>
      <c r="F371" s="7" t="str">
        <f t="shared" si="2"/>
        <v>370.mp3</v>
      </c>
      <c r="G371" s="8" t="s">
        <v>8</v>
      </c>
    </row>
    <row r="372" ht="14.25" customHeight="1">
      <c r="A372" s="1">
        <v>371.0</v>
      </c>
      <c r="B372" s="1">
        <v>124.0</v>
      </c>
      <c r="C372" s="5" t="s">
        <v>375</v>
      </c>
      <c r="D372" s="6">
        <f>IFERROR(__xludf.DUMMYFUNCTION("COUNTA(SPLIT(TRIM(C372),"" ""))"),113.0)</f>
        <v>113</v>
      </c>
      <c r="E372" s="7">
        <f t="shared" si="1"/>
        <v>57</v>
      </c>
      <c r="F372" s="7" t="str">
        <f t="shared" si="2"/>
        <v>371.mp3</v>
      </c>
      <c r="G372" s="8" t="s">
        <v>8</v>
      </c>
    </row>
    <row r="373" ht="14.25" customHeight="1">
      <c r="A373" s="1">
        <v>372.0</v>
      </c>
      <c r="B373" s="1">
        <v>124.0</v>
      </c>
      <c r="C373" s="5" t="s">
        <v>376</v>
      </c>
      <c r="D373" s="6">
        <f>IFERROR(__xludf.DUMMYFUNCTION("COUNTA(SPLIT(TRIM(C373),"" ""))"),159.0)</f>
        <v>159</v>
      </c>
      <c r="E373" s="7">
        <f t="shared" si="1"/>
        <v>80</v>
      </c>
      <c r="F373" s="7" t="str">
        <f t="shared" si="2"/>
        <v>372.mp3</v>
      </c>
      <c r="G373" s="8" t="s">
        <v>8</v>
      </c>
    </row>
    <row r="374" ht="14.25" customHeight="1">
      <c r="A374" s="1">
        <v>373.0</v>
      </c>
      <c r="B374" s="1">
        <v>125.0</v>
      </c>
      <c r="C374" s="5" t="s">
        <v>377</v>
      </c>
      <c r="D374" s="6">
        <f>IFERROR(__xludf.DUMMYFUNCTION("COUNTA(SPLIT(TRIM(C374),"" ""))"),27.0)</f>
        <v>27</v>
      </c>
      <c r="E374" s="7">
        <f t="shared" si="1"/>
        <v>14</v>
      </c>
      <c r="F374" s="7" t="str">
        <f t="shared" si="2"/>
        <v>373.mp3</v>
      </c>
      <c r="G374" s="8" t="s">
        <v>8</v>
      </c>
    </row>
    <row r="375" ht="14.25" customHeight="1">
      <c r="A375" s="1">
        <v>374.0</v>
      </c>
      <c r="B375" s="1">
        <v>125.0</v>
      </c>
      <c r="C375" s="5" t="s">
        <v>378</v>
      </c>
      <c r="D375" s="6">
        <f>IFERROR(__xludf.DUMMYFUNCTION("COUNTA(SPLIT(TRIM(C375),"" ""))"),101.0)</f>
        <v>101</v>
      </c>
      <c r="E375" s="7">
        <f t="shared" si="1"/>
        <v>51</v>
      </c>
      <c r="F375" s="7" t="str">
        <f t="shared" si="2"/>
        <v>374.mp3</v>
      </c>
      <c r="G375" s="8" t="s">
        <v>8</v>
      </c>
    </row>
    <row r="376" ht="14.25" customHeight="1">
      <c r="A376" s="1">
        <v>375.0</v>
      </c>
      <c r="B376" s="1">
        <v>125.0</v>
      </c>
      <c r="C376" s="5" t="s">
        <v>379</v>
      </c>
      <c r="D376" s="6">
        <f>IFERROR(__xludf.DUMMYFUNCTION("COUNTA(SPLIT(TRIM(C376),"" ""))"),153.0)</f>
        <v>153</v>
      </c>
      <c r="E376" s="7">
        <f t="shared" si="1"/>
        <v>77</v>
      </c>
      <c r="F376" s="7" t="str">
        <f t="shared" si="2"/>
        <v>375.mp3</v>
      </c>
      <c r="G376" s="8" t="s">
        <v>8</v>
      </c>
    </row>
    <row r="377" ht="14.25" customHeight="1">
      <c r="A377" s="1">
        <v>376.0</v>
      </c>
      <c r="B377" s="1">
        <v>126.0</v>
      </c>
      <c r="C377" s="5" t="s">
        <v>380</v>
      </c>
      <c r="D377" s="6">
        <f>IFERROR(__xludf.DUMMYFUNCTION("COUNTA(SPLIT(TRIM(C377),"" ""))"),30.0)</f>
        <v>30</v>
      </c>
      <c r="E377" s="7">
        <f t="shared" si="1"/>
        <v>15</v>
      </c>
      <c r="F377" s="7" t="str">
        <f t="shared" si="2"/>
        <v>376.mp3</v>
      </c>
      <c r="G377" s="8" t="s">
        <v>8</v>
      </c>
    </row>
    <row r="378" ht="14.25" customHeight="1">
      <c r="A378" s="1">
        <v>377.0</v>
      </c>
      <c r="B378" s="1">
        <v>126.0</v>
      </c>
      <c r="C378" s="5" t="s">
        <v>381</v>
      </c>
      <c r="D378" s="6">
        <f>IFERROR(__xludf.DUMMYFUNCTION("COUNTA(SPLIT(TRIM(C378),"" ""))"),102.0)</f>
        <v>102</v>
      </c>
      <c r="E378" s="7">
        <f t="shared" si="1"/>
        <v>51</v>
      </c>
      <c r="F378" s="7" t="str">
        <f t="shared" si="2"/>
        <v>377.mp3</v>
      </c>
      <c r="G378" s="8" t="s">
        <v>8</v>
      </c>
    </row>
    <row r="379" ht="14.25" customHeight="1">
      <c r="A379" s="1">
        <v>378.0</v>
      </c>
      <c r="B379" s="1">
        <v>126.0</v>
      </c>
      <c r="C379" s="5" t="s">
        <v>382</v>
      </c>
      <c r="D379" s="6">
        <f>IFERROR(__xludf.DUMMYFUNCTION("COUNTA(SPLIT(TRIM(C379),"" ""))"),155.0)</f>
        <v>155</v>
      </c>
      <c r="E379" s="7">
        <f t="shared" si="1"/>
        <v>78</v>
      </c>
      <c r="F379" s="7" t="str">
        <f t="shared" si="2"/>
        <v>378.mp3</v>
      </c>
      <c r="G379" s="8" t="s">
        <v>8</v>
      </c>
    </row>
    <row r="380" ht="14.25" customHeight="1">
      <c r="A380" s="1">
        <v>379.0</v>
      </c>
      <c r="B380" s="1">
        <v>127.0</v>
      </c>
      <c r="C380" s="5" t="s">
        <v>383</v>
      </c>
      <c r="D380" s="6">
        <f>IFERROR(__xludf.DUMMYFUNCTION("COUNTA(SPLIT(TRIM(C380),"" ""))"),25.0)</f>
        <v>25</v>
      </c>
      <c r="E380" s="7">
        <f t="shared" si="1"/>
        <v>13</v>
      </c>
      <c r="F380" s="7" t="str">
        <f t="shared" si="2"/>
        <v>379.mp3</v>
      </c>
      <c r="G380" s="8" t="s">
        <v>8</v>
      </c>
    </row>
    <row r="381" ht="14.25" customHeight="1">
      <c r="A381" s="1">
        <v>380.0</v>
      </c>
      <c r="B381" s="1">
        <v>127.0</v>
      </c>
      <c r="C381" s="5" t="s">
        <v>384</v>
      </c>
      <c r="D381" s="6">
        <f>IFERROR(__xludf.DUMMYFUNCTION("COUNTA(SPLIT(TRIM(C381),"" ""))"),99.0)</f>
        <v>99</v>
      </c>
      <c r="E381" s="7">
        <f t="shared" si="1"/>
        <v>50</v>
      </c>
      <c r="F381" s="7" t="str">
        <f t="shared" si="2"/>
        <v>380.mp3</v>
      </c>
      <c r="G381" s="8" t="s">
        <v>8</v>
      </c>
    </row>
    <row r="382" ht="14.25" customHeight="1">
      <c r="A382" s="1">
        <v>381.0</v>
      </c>
      <c r="B382" s="1">
        <v>127.0</v>
      </c>
      <c r="C382" s="5" t="s">
        <v>385</v>
      </c>
      <c r="D382" s="6">
        <f>IFERROR(__xludf.DUMMYFUNCTION("COUNTA(SPLIT(TRIM(C382),"" ""))"),186.0)</f>
        <v>186</v>
      </c>
      <c r="E382" s="7">
        <f t="shared" si="1"/>
        <v>93</v>
      </c>
      <c r="F382" s="7" t="str">
        <f t="shared" si="2"/>
        <v>381.mp3</v>
      </c>
      <c r="G382" s="8" t="s">
        <v>8</v>
      </c>
    </row>
    <row r="383" ht="14.25" customHeight="1">
      <c r="A383" s="1">
        <v>382.0</v>
      </c>
      <c r="B383" s="1">
        <v>128.0</v>
      </c>
      <c r="C383" s="5" t="s">
        <v>386</v>
      </c>
      <c r="D383" s="6">
        <f>IFERROR(__xludf.DUMMYFUNCTION("COUNTA(SPLIT(TRIM(C383),"" ""))"),27.0)</f>
        <v>27</v>
      </c>
      <c r="E383" s="7">
        <f t="shared" si="1"/>
        <v>14</v>
      </c>
      <c r="F383" s="7" t="str">
        <f t="shared" si="2"/>
        <v>382.mp3</v>
      </c>
      <c r="G383" s="8" t="s">
        <v>8</v>
      </c>
    </row>
    <row r="384" ht="14.25" customHeight="1">
      <c r="A384" s="1">
        <v>383.0</v>
      </c>
      <c r="B384" s="1">
        <v>128.0</v>
      </c>
      <c r="C384" s="5" t="s">
        <v>387</v>
      </c>
      <c r="D384" s="6">
        <f>IFERROR(__xludf.DUMMYFUNCTION("COUNTA(SPLIT(TRIM(C384),"" ""))"),105.0)</f>
        <v>105</v>
      </c>
      <c r="E384" s="7">
        <f t="shared" si="1"/>
        <v>53</v>
      </c>
      <c r="F384" s="7" t="str">
        <f t="shared" si="2"/>
        <v>383.mp3</v>
      </c>
      <c r="G384" s="8" t="s">
        <v>8</v>
      </c>
    </row>
    <row r="385" ht="14.25" customHeight="1">
      <c r="A385" s="1">
        <v>384.0</v>
      </c>
      <c r="B385" s="1">
        <v>128.0</v>
      </c>
      <c r="C385" s="5" t="s">
        <v>388</v>
      </c>
      <c r="D385" s="6">
        <f>IFERROR(__xludf.DUMMYFUNCTION("COUNTA(SPLIT(TRIM(C385),"" ""))"),145.0)</f>
        <v>145</v>
      </c>
      <c r="E385" s="7">
        <f t="shared" si="1"/>
        <v>73</v>
      </c>
      <c r="F385" s="7" t="str">
        <f t="shared" si="2"/>
        <v>384.mp3</v>
      </c>
      <c r="G385" s="8" t="s">
        <v>8</v>
      </c>
    </row>
    <row r="386" ht="14.25" customHeight="1">
      <c r="A386" s="1">
        <v>385.0</v>
      </c>
      <c r="B386" s="1">
        <v>129.0</v>
      </c>
      <c r="C386" s="5" t="s">
        <v>389</v>
      </c>
      <c r="D386" s="6">
        <f>IFERROR(__xludf.DUMMYFUNCTION("COUNTA(SPLIT(TRIM(C386),"" ""))"),28.0)</f>
        <v>28</v>
      </c>
      <c r="E386" s="7">
        <f t="shared" si="1"/>
        <v>14</v>
      </c>
      <c r="F386" s="7" t="str">
        <f t="shared" si="2"/>
        <v>385.mp3</v>
      </c>
      <c r="G386" s="8" t="s">
        <v>8</v>
      </c>
    </row>
    <row r="387" ht="14.25" customHeight="1">
      <c r="A387" s="1">
        <v>386.0</v>
      </c>
      <c r="B387" s="1">
        <v>129.0</v>
      </c>
      <c r="C387" s="5" t="s">
        <v>390</v>
      </c>
      <c r="D387" s="6">
        <f>IFERROR(__xludf.DUMMYFUNCTION("COUNTA(SPLIT(TRIM(C387),"" ""))"),105.0)</f>
        <v>105</v>
      </c>
      <c r="E387" s="7">
        <f t="shared" si="1"/>
        <v>53</v>
      </c>
      <c r="F387" s="7" t="str">
        <f t="shared" si="2"/>
        <v>386.mp3</v>
      </c>
      <c r="G387" s="8" t="s">
        <v>8</v>
      </c>
    </row>
    <row r="388" ht="14.25" customHeight="1">
      <c r="A388" s="1">
        <v>387.0</v>
      </c>
      <c r="B388" s="1">
        <v>129.0</v>
      </c>
      <c r="C388" s="5" t="s">
        <v>391</v>
      </c>
      <c r="D388" s="6">
        <f>IFERROR(__xludf.DUMMYFUNCTION("COUNTA(SPLIT(TRIM(C388),"" ""))"),175.0)</f>
        <v>175</v>
      </c>
      <c r="E388" s="7">
        <f t="shared" si="1"/>
        <v>88</v>
      </c>
      <c r="F388" s="7" t="str">
        <f t="shared" si="2"/>
        <v>387.mp3</v>
      </c>
      <c r="G388" s="8" t="s">
        <v>8</v>
      </c>
    </row>
    <row r="389" ht="14.25" customHeight="1">
      <c r="A389" s="1">
        <v>388.0</v>
      </c>
      <c r="B389" s="1">
        <v>130.0</v>
      </c>
      <c r="C389" s="5" t="s">
        <v>392</v>
      </c>
      <c r="D389" s="6">
        <f>IFERROR(__xludf.DUMMYFUNCTION("COUNTA(SPLIT(TRIM(C389),"" ""))"),25.0)</f>
        <v>25</v>
      </c>
      <c r="E389" s="7">
        <f t="shared" si="1"/>
        <v>13</v>
      </c>
      <c r="F389" s="7" t="str">
        <f t="shared" si="2"/>
        <v>388.mp3</v>
      </c>
      <c r="G389" s="8" t="s">
        <v>8</v>
      </c>
    </row>
    <row r="390" ht="14.25" customHeight="1">
      <c r="A390" s="1">
        <v>389.0</v>
      </c>
      <c r="B390" s="1">
        <v>130.0</v>
      </c>
      <c r="C390" s="5" t="s">
        <v>393</v>
      </c>
      <c r="D390" s="6">
        <f>IFERROR(__xludf.DUMMYFUNCTION("COUNTA(SPLIT(TRIM(C390),"" ""))"),100.0)</f>
        <v>100</v>
      </c>
      <c r="E390" s="7">
        <f t="shared" si="1"/>
        <v>50</v>
      </c>
      <c r="F390" s="7" t="str">
        <f t="shared" si="2"/>
        <v>389.mp3</v>
      </c>
      <c r="G390" s="8" t="s">
        <v>8</v>
      </c>
    </row>
    <row r="391" ht="14.25" customHeight="1">
      <c r="A391" s="1">
        <v>390.0</v>
      </c>
      <c r="B391" s="1">
        <v>130.0</v>
      </c>
      <c r="C391" s="5" t="s">
        <v>394</v>
      </c>
      <c r="D391" s="6">
        <f>IFERROR(__xludf.DUMMYFUNCTION("COUNTA(SPLIT(TRIM(C391),"" ""))"),169.0)</f>
        <v>169</v>
      </c>
      <c r="E391" s="7">
        <f t="shared" si="1"/>
        <v>85</v>
      </c>
      <c r="F391" s="7" t="str">
        <f t="shared" si="2"/>
        <v>390.mp3</v>
      </c>
      <c r="G391" s="8" t="s">
        <v>8</v>
      </c>
    </row>
    <row r="392" ht="14.25" customHeight="1">
      <c r="A392" s="1">
        <v>391.0</v>
      </c>
      <c r="B392" s="1">
        <v>131.0</v>
      </c>
      <c r="C392" s="5" t="s">
        <v>395</v>
      </c>
      <c r="D392" s="6">
        <f>IFERROR(__xludf.DUMMYFUNCTION("COUNTA(SPLIT(TRIM(C392),"" ""))"),24.0)</f>
        <v>24</v>
      </c>
      <c r="E392" s="7">
        <f t="shared" si="1"/>
        <v>12</v>
      </c>
      <c r="F392" s="7" t="str">
        <f t="shared" si="2"/>
        <v>391.mp3</v>
      </c>
      <c r="G392" s="8" t="s">
        <v>8</v>
      </c>
    </row>
    <row r="393" ht="14.25" customHeight="1">
      <c r="A393" s="1">
        <v>392.0</v>
      </c>
      <c r="B393" s="1">
        <v>131.0</v>
      </c>
      <c r="C393" s="5" t="s">
        <v>396</v>
      </c>
      <c r="D393" s="6">
        <f>IFERROR(__xludf.DUMMYFUNCTION("COUNTA(SPLIT(TRIM(C393),"" ""))"),90.0)</f>
        <v>90</v>
      </c>
      <c r="E393" s="7">
        <f t="shared" si="1"/>
        <v>45</v>
      </c>
      <c r="F393" s="7" t="str">
        <f t="shared" si="2"/>
        <v>392.mp3</v>
      </c>
      <c r="G393" s="8" t="s">
        <v>8</v>
      </c>
    </row>
    <row r="394" ht="14.25" customHeight="1">
      <c r="A394" s="1">
        <v>393.0</v>
      </c>
      <c r="B394" s="1">
        <v>131.0</v>
      </c>
      <c r="C394" s="5" t="s">
        <v>397</v>
      </c>
      <c r="D394" s="6">
        <f>IFERROR(__xludf.DUMMYFUNCTION("COUNTA(SPLIT(TRIM(C394),"" ""))"),155.0)</f>
        <v>155</v>
      </c>
      <c r="E394" s="7">
        <f t="shared" si="1"/>
        <v>78</v>
      </c>
      <c r="F394" s="7" t="str">
        <f t="shared" si="2"/>
        <v>393.mp3</v>
      </c>
      <c r="G394" s="8" t="s">
        <v>8</v>
      </c>
    </row>
    <row r="395" ht="14.25" customHeight="1">
      <c r="A395" s="1">
        <v>394.0</v>
      </c>
      <c r="B395" s="1">
        <v>132.0</v>
      </c>
      <c r="C395" s="5" t="s">
        <v>398</v>
      </c>
      <c r="D395" s="6">
        <f>IFERROR(__xludf.DUMMYFUNCTION("COUNTA(SPLIT(TRIM(C395),"" ""))"),23.0)</f>
        <v>23</v>
      </c>
      <c r="E395" s="7">
        <f t="shared" si="1"/>
        <v>12</v>
      </c>
      <c r="F395" s="7" t="str">
        <f t="shared" si="2"/>
        <v>394.mp3</v>
      </c>
      <c r="G395" s="8" t="s">
        <v>8</v>
      </c>
    </row>
    <row r="396" ht="14.25" customHeight="1">
      <c r="A396" s="1">
        <v>395.0</v>
      </c>
      <c r="B396" s="1">
        <v>132.0</v>
      </c>
      <c r="C396" s="5" t="s">
        <v>399</v>
      </c>
      <c r="D396" s="6">
        <f>IFERROR(__xludf.DUMMYFUNCTION("COUNTA(SPLIT(TRIM(C396),"" ""))"),101.0)</f>
        <v>101</v>
      </c>
      <c r="E396" s="7">
        <f t="shared" si="1"/>
        <v>51</v>
      </c>
      <c r="F396" s="7" t="str">
        <f t="shared" si="2"/>
        <v>395.mp3</v>
      </c>
      <c r="G396" s="8" t="s">
        <v>8</v>
      </c>
    </row>
    <row r="397" ht="14.25" customHeight="1">
      <c r="A397" s="1">
        <v>396.0</v>
      </c>
      <c r="B397" s="1">
        <v>132.0</v>
      </c>
      <c r="C397" s="5" t="s">
        <v>400</v>
      </c>
      <c r="D397" s="6">
        <f>IFERROR(__xludf.DUMMYFUNCTION("COUNTA(SPLIT(TRIM(C397),"" ""))"),185.0)</f>
        <v>185</v>
      </c>
      <c r="E397" s="7">
        <f t="shared" si="1"/>
        <v>93</v>
      </c>
      <c r="F397" s="7" t="str">
        <f t="shared" si="2"/>
        <v>396.mp3</v>
      </c>
      <c r="G397" s="8" t="s">
        <v>8</v>
      </c>
    </row>
    <row r="398" ht="14.25" customHeight="1">
      <c r="A398" s="1">
        <v>397.0</v>
      </c>
      <c r="B398" s="1">
        <v>133.0</v>
      </c>
      <c r="C398" s="5" t="s">
        <v>401</v>
      </c>
      <c r="D398" s="6">
        <f>IFERROR(__xludf.DUMMYFUNCTION("COUNTA(SPLIT(TRIM(C398),"" ""))"),26.0)</f>
        <v>26</v>
      </c>
      <c r="E398" s="7">
        <f t="shared" si="1"/>
        <v>13</v>
      </c>
      <c r="F398" s="7" t="str">
        <f t="shared" si="2"/>
        <v>397.mp3</v>
      </c>
      <c r="G398" s="8" t="s">
        <v>8</v>
      </c>
    </row>
    <row r="399" ht="14.25" customHeight="1">
      <c r="A399" s="1">
        <v>398.0</v>
      </c>
      <c r="B399" s="1">
        <v>133.0</v>
      </c>
      <c r="C399" s="5" t="s">
        <v>402</v>
      </c>
      <c r="D399" s="6">
        <f>IFERROR(__xludf.DUMMYFUNCTION("COUNTA(SPLIT(TRIM(C399),"" ""))"),128.0)</f>
        <v>128</v>
      </c>
      <c r="E399" s="7">
        <f t="shared" si="1"/>
        <v>64</v>
      </c>
      <c r="F399" s="7" t="str">
        <f t="shared" si="2"/>
        <v>398.mp3</v>
      </c>
      <c r="G399" s="8" t="s">
        <v>8</v>
      </c>
    </row>
    <row r="400" ht="14.25" customHeight="1">
      <c r="A400" s="1">
        <v>399.0</v>
      </c>
      <c r="B400" s="1">
        <v>133.0</v>
      </c>
      <c r="C400" s="5" t="s">
        <v>403</v>
      </c>
      <c r="D400" s="6">
        <f>IFERROR(__xludf.DUMMYFUNCTION("COUNTA(SPLIT(TRIM(C400),"" ""))"),220.0)</f>
        <v>220</v>
      </c>
      <c r="E400" s="7">
        <f t="shared" si="1"/>
        <v>110</v>
      </c>
      <c r="F400" s="7" t="str">
        <f t="shared" si="2"/>
        <v>399.mp3</v>
      </c>
      <c r="G400" s="8" t="s">
        <v>8</v>
      </c>
    </row>
    <row r="401" ht="14.25" customHeight="1">
      <c r="A401" s="1">
        <v>400.0</v>
      </c>
      <c r="B401" s="1">
        <v>134.0</v>
      </c>
      <c r="C401" s="5" t="s">
        <v>404</v>
      </c>
      <c r="D401" s="6">
        <f>IFERROR(__xludf.DUMMYFUNCTION("COUNTA(SPLIT(TRIM(C401),"" ""))"),24.0)</f>
        <v>24</v>
      </c>
      <c r="E401" s="7">
        <f t="shared" si="1"/>
        <v>12</v>
      </c>
      <c r="F401" s="7" t="str">
        <f t="shared" si="2"/>
        <v>400.mp3</v>
      </c>
      <c r="G401" s="8" t="s">
        <v>8</v>
      </c>
    </row>
    <row r="402" ht="14.25" customHeight="1">
      <c r="A402" s="1">
        <v>401.0</v>
      </c>
      <c r="B402" s="1">
        <v>134.0</v>
      </c>
      <c r="C402" s="5" t="s">
        <v>405</v>
      </c>
      <c r="D402" s="6">
        <f>IFERROR(__xludf.DUMMYFUNCTION("COUNTA(SPLIT(TRIM(C402),"" ""))"),112.0)</f>
        <v>112</v>
      </c>
      <c r="E402" s="7">
        <f t="shared" si="1"/>
        <v>56</v>
      </c>
      <c r="F402" s="7" t="str">
        <f t="shared" si="2"/>
        <v>401.mp3</v>
      </c>
      <c r="G402" s="8" t="s">
        <v>8</v>
      </c>
    </row>
    <row r="403" ht="14.25" customHeight="1">
      <c r="A403" s="1">
        <v>402.0</v>
      </c>
      <c r="B403" s="1">
        <v>134.0</v>
      </c>
      <c r="C403" s="5" t="s">
        <v>406</v>
      </c>
      <c r="D403" s="6">
        <f>IFERROR(__xludf.DUMMYFUNCTION("COUNTA(SPLIT(TRIM(C403),"" ""))"),229.0)</f>
        <v>229</v>
      </c>
      <c r="E403" s="7">
        <f t="shared" si="1"/>
        <v>115</v>
      </c>
      <c r="F403" s="7" t="str">
        <f t="shared" si="2"/>
        <v>402.mp3</v>
      </c>
      <c r="G403" s="8" t="s">
        <v>8</v>
      </c>
    </row>
    <row r="404" ht="14.25" customHeight="1">
      <c r="A404" s="1">
        <v>403.0</v>
      </c>
      <c r="B404" s="1">
        <v>135.0</v>
      </c>
      <c r="C404" s="5" t="s">
        <v>407</v>
      </c>
      <c r="D404" s="6">
        <f>IFERROR(__xludf.DUMMYFUNCTION("COUNTA(SPLIT(TRIM(C404),"" ""))"),28.0)</f>
        <v>28</v>
      </c>
      <c r="E404" s="7">
        <f t="shared" si="1"/>
        <v>14</v>
      </c>
      <c r="F404" s="7" t="str">
        <f t="shared" si="2"/>
        <v>403.mp3</v>
      </c>
      <c r="G404" s="8" t="s">
        <v>8</v>
      </c>
    </row>
    <row r="405" ht="14.25" customHeight="1">
      <c r="A405" s="1">
        <v>404.0</v>
      </c>
      <c r="B405" s="1">
        <v>135.0</v>
      </c>
      <c r="C405" s="5" t="s">
        <v>408</v>
      </c>
      <c r="D405" s="6">
        <f>IFERROR(__xludf.DUMMYFUNCTION("COUNTA(SPLIT(TRIM(C405),"" ""))"),99.0)</f>
        <v>99</v>
      </c>
      <c r="E405" s="7">
        <f t="shared" si="1"/>
        <v>50</v>
      </c>
      <c r="F405" s="7" t="str">
        <f t="shared" si="2"/>
        <v>404.mp3</v>
      </c>
      <c r="G405" s="8" t="s">
        <v>8</v>
      </c>
    </row>
    <row r="406" ht="14.25" customHeight="1">
      <c r="A406" s="1">
        <v>405.0</v>
      </c>
      <c r="B406" s="1">
        <v>135.0</v>
      </c>
      <c r="C406" s="5" t="s">
        <v>409</v>
      </c>
      <c r="D406" s="6">
        <f>IFERROR(__xludf.DUMMYFUNCTION("COUNTA(SPLIT(TRIM(C406),"" ""))"),179.0)</f>
        <v>179</v>
      </c>
      <c r="E406" s="7">
        <f t="shared" si="1"/>
        <v>90</v>
      </c>
      <c r="F406" s="7" t="str">
        <f t="shared" si="2"/>
        <v>405.mp3</v>
      </c>
      <c r="G406" s="8" t="s">
        <v>8</v>
      </c>
    </row>
    <row r="407" ht="14.25" customHeight="1">
      <c r="A407" s="1">
        <v>406.0</v>
      </c>
      <c r="B407" s="1">
        <v>136.0</v>
      </c>
      <c r="C407" s="5" t="s">
        <v>410</v>
      </c>
      <c r="D407" s="6">
        <f>IFERROR(__xludf.DUMMYFUNCTION("COUNTA(SPLIT(TRIM(C407),"" ""))"),25.0)</f>
        <v>25</v>
      </c>
      <c r="E407" s="7">
        <f t="shared" si="1"/>
        <v>13</v>
      </c>
      <c r="F407" s="7" t="str">
        <f t="shared" si="2"/>
        <v>406.mp3</v>
      </c>
      <c r="G407" s="8" t="s">
        <v>8</v>
      </c>
    </row>
    <row r="408" ht="14.25" customHeight="1">
      <c r="A408" s="1">
        <v>407.0</v>
      </c>
      <c r="B408" s="1">
        <v>136.0</v>
      </c>
      <c r="C408" s="5" t="s">
        <v>411</v>
      </c>
      <c r="D408" s="6">
        <f>IFERROR(__xludf.DUMMYFUNCTION("COUNTA(SPLIT(TRIM(C408),"" ""))"),112.0)</f>
        <v>112</v>
      </c>
      <c r="E408" s="7">
        <f t="shared" si="1"/>
        <v>56</v>
      </c>
      <c r="F408" s="7" t="str">
        <f t="shared" si="2"/>
        <v>407.mp3</v>
      </c>
      <c r="G408" s="8" t="s">
        <v>8</v>
      </c>
    </row>
    <row r="409" ht="14.25" customHeight="1">
      <c r="A409" s="1">
        <v>408.0</v>
      </c>
      <c r="B409" s="1">
        <v>136.0</v>
      </c>
      <c r="C409" s="5" t="s">
        <v>412</v>
      </c>
      <c r="D409" s="6">
        <f>IFERROR(__xludf.DUMMYFUNCTION("COUNTA(SPLIT(TRIM(C409),"" ""))"),179.0)</f>
        <v>179</v>
      </c>
      <c r="E409" s="7">
        <f t="shared" si="1"/>
        <v>90</v>
      </c>
      <c r="F409" s="7" t="str">
        <f t="shared" si="2"/>
        <v>408.mp3</v>
      </c>
      <c r="G409" s="8" t="s">
        <v>8</v>
      </c>
    </row>
    <row r="410" ht="14.25" customHeight="1">
      <c r="A410" s="1">
        <v>409.0</v>
      </c>
      <c r="B410" s="1">
        <v>137.0</v>
      </c>
      <c r="C410" s="5" t="s">
        <v>413</v>
      </c>
      <c r="D410" s="6">
        <f>IFERROR(__xludf.DUMMYFUNCTION("COUNTA(SPLIT(TRIM(C410),"" ""))"),26.0)</f>
        <v>26</v>
      </c>
      <c r="E410" s="7">
        <f t="shared" si="1"/>
        <v>13</v>
      </c>
      <c r="F410" s="7" t="str">
        <f t="shared" si="2"/>
        <v>409.mp3</v>
      </c>
      <c r="G410" s="8" t="s">
        <v>8</v>
      </c>
    </row>
    <row r="411" ht="14.25" customHeight="1">
      <c r="A411" s="1">
        <v>410.0</v>
      </c>
      <c r="B411" s="1">
        <v>137.0</v>
      </c>
      <c r="C411" s="5" t="s">
        <v>414</v>
      </c>
      <c r="D411" s="6">
        <f>IFERROR(__xludf.DUMMYFUNCTION("COUNTA(SPLIT(TRIM(C411),"" ""))"),119.0)</f>
        <v>119</v>
      </c>
      <c r="E411" s="7">
        <f t="shared" si="1"/>
        <v>60</v>
      </c>
      <c r="F411" s="7" t="str">
        <f t="shared" si="2"/>
        <v>410.mp3</v>
      </c>
      <c r="G411" s="8" t="s">
        <v>8</v>
      </c>
    </row>
    <row r="412" ht="14.25" customHeight="1">
      <c r="A412" s="1">
        <v>411.0</v>
      </c>
      <c r="B412" s="1">
        <v>137.0</v>
      </c>
      <c r="C412" s="5" t="s">
        <v>415</v>
      </c>
      <c r="D412" s="6">
        <f>IFERROR(__xludf.DUMMYFUNCTION("COUNTA(SPLIT(TRIM(C412),"" ""))"),188.0)</f>
        <v>188</v>
      </c>
      <c r="E412" s="7">
        <f t="shared" si="1"/>
        <v>94</v>
      </c>
      <c r="F412" s="7" t="str">
        <f t="shared" si="2"/>
        <v>411.mp3</v>
      </c>
      <c r="G412" s="8" t="s">
        <v>8</v>
      </c>
    </row>
    <row r="413" ht="14.25" customHeight="1">
      <c r="A413" s="1">
        <v>412.0</v>
      </c>
      <c r="B413" s="1">
        <v>138.0</v>
      </c>
      <c r="C413" s="5" t="s">
        <v>416</v>
      </c>
      <c r="D413" s="6">
        <f>IFERROR(__xludf.DUMMYFUNCTION("COUNTA(SPLIT(TRIM(C413),"" ""))"),25.0)</f>
        <v>25</v>
      </c>
      <c r="E413" s="7">
        <f t="shared" si="1"/>
        <v>13</v>
      </c>
      <c r="F413" s="7" t="str">
        <f t="shared" si="2"/>
        <v>412.mp3</v>
      </c>
      <c r="G413" s="8" t="s">
        <v>8</v>
      </c>
    </row>
    <row r="414" ht="14.25" customHeight="1">
      <c r="A414" s="1">
        <v>413.0</v>
      </c>
      <c r="B414" s="1">
        <v>138.0</v>
      </c>
      <c r="C414" s="5" t="s">
        <v>417</v>
      </c>
      <c r="D414" s="6">
        <f>IFERROR(__xludf.DUMMYFUNCTION("COUNTA(SPLIT(TRIM(C414),"" ""))"),101.0)</f>
        <v>101</v>
      </c>
      <c r="E414" s="7">
        <f t="shared" si="1"/>
        <v>51</v>
      </c>
      <c r="F414" s="7" t="str">
        <f t="shared" si="2"/>
        <v>413.mp3</v>
      </c>
      <c r="G414" s="8" t="s">
        <v>8</v>
      </c>
    </row>
    <row r="415" ht="14.25" customHeight="1">
      <c r="A415" s="1">
        <v>414.0</v>
      </c>
      <c r="B415" s="1">
        <v>138.0</v>
      </c>
      <c r="C415" s="5" t="s">
        <v>418</v>
      </c>
      <c r="D415" s="6">
        <f>IFERROR(__xludf.DUMMYFUNCTION("COUNTA(SPLIT(TRIM(C415),"" ""))"),156.0)</f>
        <v>156</v>
      </c>
      <c r="E415" s="7">
        <f t="shared" si="1"/>
        <v>78</v>
      </c>
      <c r="F415" s="7" t="str">
        <f t="shared" si="2"/>
        <v>414.mp3</v>
      </c>
      <c r="G415" s="8" t="s">
        <v>8</v>
      </c>
    </row>
    <row r="416" ht="14.25" customHeight="1">
      <c r="A416" s="1">
        <v>415.0</v>
      </c>
      <c r="B416" s="1">
        <v>139.0</v>
      </c>
      <c r="C416" s="5" t="s">
        <v>419</v>
      </c>
      <c r="D416" s="6">
        <f>IFERROR(__xludf.DUMMYFUNCTION("COUNTA(SPLIT(TRIM(C416),"" ""))"),30.0)</f>
        <v>30</v>
      </c>
      <c r="E416" s="7">
        <f t="shared" si="1"/>
        <v>15</v>
      </c>
      <c r="F416" s="7" t="str">
        <f t="shared" si="2"/>
        <v>415.mp3</v>
      </c>
      <c r="G416" s="8" t="s">
        <v>8</v>
      </c>
    </row>
    <row r="417" ht="14.25" customHeight="1">
      <c r="A417" s="1">
        <v>416.0</v>
      </c>
      <c r="B417" s="1">
        <v>139.0</v>
      </c>
      <c r="C417" s="5" t="s">
        <v>420</v>
      </c>
      <c r="D417" s="6">
        <f>IFERROR(__xludf.DUMMYFUNCTION("COUNTA(SPLIT(TRIM(C417),"" ""))"),88.0)</f>
        <v>88</v>
      </c>
      <c r="E417" s="7">
        <f t="shared" si="1"/>
        <v>44</v>
      </c>
      <c r="F417" s="7" t="str">
        <f t="shared" si="2"/>
        <v>416.mp3</v>
      </c>
      <c r="G417" s="8" t="s">
        <v>8</v>
      </c>
    </row>
    <row r="418" ht="14.25" customHeight="1">
      <c r="A418" s="1">
        <v>417.0</v>
      </c>
      <c r="B418" s="1">
        <v>139.0</v>
      </c>
      <c r="C418" s="5" t="s">
        <v>421</v>
      </c>
      <c r="D418" s="6">
        <f>IFERROR(__xludf.DUMMYFUNCTION("COUNTA(SPLIT(TRIM(C418),"" ""))"),174.0)</f>
        <v>174</v>
      </c>
      <c r="E418" s="7">
        <f t="shared" si="1"/>
        <v>87</v>
      </c>
      <c r="F418" s="7" t="str">
        <f t="shared" si="2"/>
        <v>417.mp3</v>
      </c>
      <c r="G418" s="8" t="s">
        <v>8</v>
      </c>
    </row>
    <row r="419" ht="14.25" customHeight="1">
      <c r="A419" s="1">
        <v>418.0</v>
      </c>
      <c r="B419" s="1">
        <v>140.0</v>
      </c>
      <c r="C419" s="5" t="s">
        <v>422</v>
      </c>
      <c r="D419" s="6">
        <f>IFERROR(__xludf.DUMMYFUNCTION("COUNTA(SPLIT(TRIM(C419),"" ""))"),27.0)</f>
        <v>27</v>
      </c>
      <c r="E419" s="7">
        <f t="shared" si="1"/>
        <v>14</v>
      </c>
      <c r="F419" s="7" t="str">
        <f t="shared" si="2"/>
        <v>418.mp3</v>
      </c>
      <c r="G419" s="8" t="s">
        <v>8</v>
      </c>
    </row>
    <row r="420" ht="14.25" customHeight="1">
      <c r="A420" s="1">
        <v>419.0</v>
      </c>
      <c r="B420" s="1">
        <v>140.0</v>
      </c>
      <c r="C420" s="5" t="s">
        <v>423</v>
      </c>
      <c r="D420" s="6">
        <f>IFERROR(__xludf.DUMMYFUNCTION("COUNTA(SPLIT(TRIM(C420),"" ""))"),91.0)</f>
        <v>91</v>
      </c>
      <c r="E420" s="7">
        <f t="shared" si="1"/>
        <v>46</v>
      </c>
      <c r="F420" s="7" t="str">
        <f t="shared" si="2"/>
        <v>419.mp3</v>
      </c>
      <c r="G420" s="8" t="s">
        <v>8</v>
      </c>
    </row>
    <row r="421" ht="14.25" customHeight="1">
      <c r="A421" s="1">
        <v>420.0</v>
      </c>
      <c r="B421" s="1">
        <v>140.0</v>
      </c>
      <c r="C421" s="5" t="s">
        <v>424</v>
      </c>
      <c r="D421" s="6">
        <f>IFERROR(__xludf.DUMMYFUNCTION("COUNTA(SPLIT(TRIM(C421),"" ""))"),175.0)</f>
        <v>175</v>
      </c>
      <c r="E421" s="7">
        <f t="shared" si="1"/>
        <v>88</v>
      </c>
      <c r="F421" s="7" t="str">
        <f t="shared" si="2"/>
        <v>420.mp3</v>
      </c>
      <c r="G421" s="8" t="s">
        <v>8</v>
      </c>
    </row>
    <row r="422" ht="14.25" customHeight="1">
      <c r="A422" s="1">
        <v>421.0</v>
      </c>
      <c r="B422" s="1">
        <v>141.0</v>
      </c>
      <c r="C422" s="5" t="s">
        <v>425</v>
      </c>
      <c r="D422" s="6">
        <f>IFERROR(__xludf.DUMMYFUNCTION("COUNTA(SPLIT(TRIM(C422),"" ""))"),23.0)</f>
        <v>23</v>
      </c>
      <c r="E422" s="7">
        <f t="shared" si="1"/>
        <v>12</v>
      </c>
      <c r="F422" s="7" t="str">
        <f t="shared" si="2"/>
        <v>421.mp3</v>
      </c>
      <c r="G422" s="8" t="s">
        <v>8</v>
      </c>
    </row>
    <row r="423" ht="14.25" customHeight="1">
      <c r="A423" s="1">
        <v>422.0</v>
      </c>
      <c r="B423" s="1">
        <v>141.0</v>
      </c>
      <c r="C423" s="5" t="s">
        <v>426</v>
      </c>
      <c r="D423" s="6">
        <f>IFERROR(__xludf.DUMMYFUNCTION("COUNTA(SPLIT(TRIM(C423),"" ""))"),91.0)</f>
        <v>91</v>
      </c>
      <c r="E423" s="7">
        <f t="shared" si="1"/>
        <v>46</v>
      </c>
      <c r="F423" s="7" t="str">
        <f t="shared" si="2"/>
        <v>422.mp3</v>
      </c>
      <c r="G423" s="8" t="s">
        <v>8</v>
      </c>
    </row>
    <row r="424" ht="14.25" customHeight="1">
      <c r="A424" s="1">
        <v>423.0</v>
      </c>
      <c r="B424" s="1">
        <v>141.0</v>
      </c>
      <c r="C424" s="5" t="s">
        <v>427</v>
      </c>
      <c r="D424" s="6">
        <f>IFERROR(__xludf.DUMMYFUNCTION("COUNTA(SPLIT(TRIM(C424),"" ""))"),200.0)</f>
        <v>200</v>
      </c>
      <c r="E424" s="7">
        <f t="shared" si="1"/>
        <v>100</v>
      </c>
      <c r="F424" s="7" t="str">
        <f t="shared" si="2"/>
        <v>423.mp3</v>
      </c>
      <c r="G424" s="8" t="s">
        <v>8</v>
      </c>
    </row>
    <row r="425" ht="14.25" customHeight="1">
      <c r="A425" s="1">
        <v>424.0</v>
      </c>
      <c r="B425" s="1">
        <v>142.0</v>
      </c>
      <c r="C425" s="5" t="s">
        <v>428</v>
      </c>
      <c r="D425" s="6">
        <f>IFERROR(__xludf.DUMMYFUNCTION("COUNTA(SPLIT(TRIM(C425),"" ""))"),23.0)</f>
        <v>23</v>
      </c>
      <c r="E425" s="7">
        <f t="shared" si="1"/>
        <v>12</v>
      </c>
      <c r="F425" s="7" t="str">
        <f t="shared" si="2"/>
        <v>424.mp3</v>
      </c>
      <c r="G425" s="8" t="s">
        <v>8</v>
      </c>
    </row>
    <row r="426" ht="14.25" customHeight="1">
      <c r="A426" s="1">
        <v>425.0</v>
      </c>
      <c r="B426" s="1">
        <v>142.0</v>
      </c>
      <c r="C426" s="5" t="s">
        <v>429</v>
      </c>
      <c r="D426" s="6">
        <f>IFERROR(__xludf.DUMMYFUNCTION("COUNTA(SPLIT(TRIM(C426),"" ""))"),88.0)</f>
        <v>88</v>
      </c>
      <c r="E426" s="7">
        <f t="shared" si="1"/>
        <v>44</v>
      </c>
      <c r="F426" s="7" t="str">
        <f t="shared" si="2"/>
        <v>425.mp3</v>
      </c>
      <c r="G426" s="8" t="s">
        <v>8</v>
      </c>
    </row>
    <row r="427" ht="14.25" customHeight="1">
      <c r="A427" s="1">
        <v>426.0</v>
      </c>
      <c r="B427" s="1">
        <v>142.0</v>
      </c>
      <c r="C427" s="5" t="s">
        <v>430</v>
      </c>
      <c r="D427" s="6">
        <f>IFERROR(__xludf.DUMMYFUNCTION("COUNTA(SPLIT(TRIM(C427),"" ""))"),201.0)</f>
        <v>201</v>
      </c>
      <c r="E427" s="7">
        <f t="shared" si="1"/>
        <v>101</v>
      </c>
      <c r="F427" s="7" t="str">
        <f t="shared" si="2"/>
        <v>426.mp3</v>
      </c>
      <c r="G427" s="8" t="s">
        <v>8</v>
      </c>
    </row>
    <row r="428" ht="14.25" customHeight="1">
      <c r="A428" s="1">
        <v>427.0</v>
      </c>
      <c r="B428" s="1">
        <v>143.0</v>
      </c>
      <c r="C428" s="5" t="s">
        <v>431</v>
      </c>
      <c r="D428" s="6">
        <f>IFERROR(__xludf.DUMMYFUNCTION("COUNTA(SPLIT(TRIM(C428),"" ""))"),28.0)</f>
        <v>28</v>
      </c>
      <c r="E428" s="7">
        <f t="shared" si="1"/>
        <v>14</v>
      </c>
      <c r="F428" s="7" t="str">
        <f t="shared" si="2"/>
        <v>427.mp3</v>
      </c>
      <c r="G428" s="8" t="s">
        <v>8</v>
      </c>
    </row>
    <row r="429" ht="14.25" customHeight="1">
      <c r="A429" s="1">
        <v>428.0</v>
      </c>
      <c r="B429" s="1">
        <v>143.0</v>
      </c>
      <c r="C429" s="5" t="s">
        <v>432</v>
      </c>
      <c r="D429" s="6">
        <f>IFERROR(__xludf.DUMMYFUNCTION("COUNTA(SPLIT(TRIM(C429),"" ""))"),98.0)</f>
        <v>98</v>
      </c>
      <c r="E429" s="7">
        <f t="shared" si="1"/>
        <v>49</v>
      </c>
      <c r="F429" s="7" t="str">
        <f t="shared" si="2"/>
        <v>428.mp3</v>
      </c>
      <c r="G429" s="8" t="s">
        <v>8</v>
      </c>
    </row>
    <row r="430" ht="14.25" customHeight="1">
      <c r="A430" s="1">
        <v>429.0</v>
      </c>
      <c r="B430" s="1">
        <v>143.0</v>
      </c>
      <c r="C430" s="5" t="s">
        <v>433</v>
      </c>
      <c r="D430" s="6">
        <f>IFERROR(__xludf.DUMMYFUNCTION("COUNTA(SPLIT(TRIM(C430),"" ""))"),178.0)</f>
        <v>178</v>
      </c>
      <c r="E430" s="7">
        <f t="shared" si="1"/>
        <v>89</v>
      </c>
      <c r="F430" s="7" t="str">
        <f t="shared" si="2"/>
        <v>429.mp3</v>
      </c>
      <c r="G430" s="8" t="s">
        <v>8</v>
      </c>
    </row>
    <row r="431" ht="14.25" customHeight="1">
      <c r="A431" s="1">
        <v>430.0</v>
      </c>
      <c r="B431" s="1">
        <v>144.0</v>
      </c>
      <c r="C431" s="5" t="s">
        <v>434</v>
      </c>
      <c r="D431" s="6">
        <f>IFERROR(__xludf.DUMMYFUNCTION("COUNTA(SPLIT(TRIM(C431),"" ""))"),28.0)</f>
        <v>28</v>
      </c>
      <c r="E431" s="7">
        <f t="shared" si="1"/>
        <v>14</v>
      </c>
      <c r="F431" s="7" t="str">
        <f t="shared" si="2"/>
        <v>430.mp3</v>
      </c>
      <c r="G431" s="8" t="s">
        <v>8</v>
      </c>
    </row>
    <row r="432" ht="14.25" customHeight="1">
      <c r="A432" s="1">
        <v>431.0</v>
      </c>
      <c r="B432" s="1">
        <v>144.0</v>
      </c>
      <c r="C432" s="5" t="s">
        <v>435</v>
      </c>
      <c r="D432" s="6">
        <f>IFERROR(__xludf.DUMMYFUNCTION("COUNTA(SPLIT(TRIM(C432),"" ""))"),111.0)</f>
        <v>111</v>
      </c>
      <c r="E432" s="7">
        <f t="shared" si="1"/>
        <v>56</v>
      </c>
      <c r="F432" s="7" t="str">
        <f t="shared" si="2"/>
        <v>431.mp3</v>
      </c>
      <c r="G432" s="8" t="s">
        <v>8</v>
      </c>
    </row>
    <row r="433" ht="14.25" customHeight="1">
      <c r="A433" s="1">
        <v>432.0</v>
      </c>
      <c r="B433" s="1">
        <v>144.0</v>
      </c>
      <c r="C433" s="5" t="s">
        <v>436</v>
      </c>
      <c r="D433" s="6">
        <f>IFERROR(__xludf.DUMMYFUNCTION("COUNTA(SPLIT(TRIM(C433),"" ""))"),173.0)</f>
        <v>173</v>
      </c>
      <c r="E433" s="7">
        <f t="shared" si="1"/>
        <v>87</v>
      </c>
      <c r="F433" s="7" t="str">
        <f t="shared" si="2"/>
        <v>432.mp3</v>
      </c>
      <c r="G433" s="8" t="s">
        <v>8</v>
      </c>
    </row>
    <row r="434" ht="14.25" customHeight="1">
      <c r="A434" s="1">
        <v>433.0</v>
      </c>
      <c r="B434" s="1">
        <v>145.0</v>
      </c>
      <c r="C434" s="5" t="s">
        <v>437</v>
      </c>
      <c r="D434" s="6">
        <f>IFERROR(__xludf.DUMMYFUNCTION("COUNTA(SPLIT(TRIM(C434),"" ""))"),28.0)</f>
        <v>28</v>
      </c>
      <c r="E434" s="7">
        <f t="shared" si="1"/>
        <v>14</v>
      </c>
      <c r="F434" s="7" t="str">
        <f t="shared" si="2"/>
        <v>433.mp3</v>
      </c>
      <c r="G434" s="8" t="s">
        <v>8</v>
      </c>
    </row>
    <row r="435" ht="14.25" customHeight="1">
      <c r="A435" s="1">
        <v>434.0</v>
      </c>
      <c r="B435" s="1">
        <v>145.0</v>
      </c>
      <c r="C435" s="5" t="s">
        <v>438</v>
      </c>
      <c r="D435" s="6">
        <f>IFERROR(__xludf.DUMMYFUNCTION("COUNTA(SPLIT(TRIM(C435),"" ""))"),92.0)</f>
        <v>92</v>
      </c>
      <c r="E435" s="7">
        <f t="shared" si="1"/>
        <v>46</v>
      </c>
      <c r="F435" s="7" t="str">
        <f t="shared" si="2"/>
        <v>434.mp3</v>
      </c>
      <c r="G435" s="8" t="s">
        <v>8</v>
      </c>
    </row>
    <row r="436" ht="14.25" customHeight="1">
      <c r="A436" s="1">
        <v>435.0</v>
      </c>
      <c r="B436" s="1">
        <v>145.0</v>
      </c>
      <c r="C436" s="5" t="s">
        <v>439</v>
      </c>
      <c r="D436" s="6">
        <f>IFERROR(__xludf.DUMMYFUNCTION("COUNTA(SPLIT(TRIM(C436),"" ""))"),170.0)</f>
        <v>170</v>
      </c>
      <c r="E436" s="7">
        <f t="shared" si="1"/>
        <v>85</v>
      </c>
      <c r="F436" s="7" t="str">
        <f t="shared" si="2"/>
        <v>435.mp3</v>
      </c>
      <c r="G436" s="8" t="s">
        <v>8</v>
      </c>
    </row>
    <row r="437" ht="14.25" customHeight="1">
      <c r="A437" s="1">
        <v>436.0</v>
      </c>
      <c r="B437" s="1">
        <v>146.0</v>
      </c>
      <c r="C437" s="5" t="s">
        <v>440</v>
      </c>
      <c r="D437" s="6">
        <f>IFERROR(__xludf.DUMMYFUNCTION("COUNTA(SPLIT(TRIM(C437),"" ""))"),28.0)</f>
        <v>28</v>
      </c>
      <c r="E437" s="7">
        <f t="shared" si="1"/>
        <v>14</v>
      </c>
      <c r="F437" s="7" t="str">
        <f t="shared" si="2"/>
        <v>436.mp3</v>
      </c>
      <c r="G437" s="8" t="s">
        <v>8</v>
      </c>
    </row>
    <row r="438" ht="14.25" customHeight="1">
      <c r="A438" s="1">
        <v>437.0</v>
      </c>
      <c r="B438" s="1">
        <v>146.0</v>
      </c>
      <c r="C438" s="5" t="s">
        <v>441</v>
      </c>
      <c r="D438" s="6">
        <f>IFERROR(__xludf.DUMMYFUNCTION("COUNTA(SPLIT(TRIM(C438),"" ""))"),118.0)</f>
        <v>118</v>
      </c>
      <c r="E438" s="7">
        <f t="shared" si="1"/>
        <v>59</v>
      </c>
      <c r="F438" s="7" t="str">
        <f t="shared" si="2"/>
        <v>437.mp3</v>
      </c>
      <c r="G438" s="8" t="s">
        <v>8</v>
      </c>
    </row>
    <row r="439" ht="14.25" customHeight="1">
      <c r="A439" s="1">
        <v>438.0</v>
      </c>
      <c r="B439" s="1">
        <v>146.0</v>
      </c>
      <c r="C439" s="5" t="s">
        <v>442</v>
      </c>
      <c r="D439" s="6">
        <f>IFERROR(__xludf.DUMMYFUNCTION("COUNTA(SPLIT(TRIM(C439),"" ""))"),176.0)</f>
        <v>176</v>
      </c>
      <c r="E439" s="7">
        <f t="shared" si="1"/>
        <v>88</v>
      </c>
      <c r="F439" s="7" t="str">
        <f t="shared" si="2"/>
        <v>438.mp3</v>
      </c>
      <c r="G439" s="8" t="s">
        <v>8</v>
      </c>
    </row>
    <row r="440" ht="14.25" customHeight="1">
      <c r="A440" s="1">
        <v>439.0</v>
      </c>
      <c r="B440" s="1">
        <v>147.0</v>
      </c>
      <c r="C440" s="5" t="s">
        <v>443</v>
      </c>
      <c r="D440" s="6">
        <f>IFERROR(__xludf.DUMMYFUNCTION("COUNTA(SPLIT(TRIM(C440),"" ""))"),24.0)</f>
        <v>24</v>
      </c>
      <c r="E440" s="7">
        <f t="shared" si="1"/>
        <v>12</v>
      </c>
      <c r="F440" s="7" t="str">
        <f t="shared" si="2"/>
        <v>439.mp3</v>
      </c>
      <c r="G440" s="8" t="s">
        <v>8</v>
      </c>
    </row>
    <row r="441" ht="14.25" customHeight="1">
      <c r="A441" s="1">
        <v>440.0</v>
      </c>
      <c r="B441" s="1">
        <v>147.0</v>
      </c>
      <c r="C441" s="5" t="s">
        <v>444</v>
      </c>
      <c r="D441" s="6">
        <f>IFERROR(__xludf.DUMMYFUNCTION("COUNTA(SPLIT(TRIM(C441),"" ""))"),68.0)</f>
        <v>68</v>
      </c>
      <c r="E441" s="7">
        <f t="shared" si="1"/>
        <v>34</v>
      </c>
      <c r="F441" s="7" t="str">
        <f t="shared" si="2"/>
        <v>440.mp3</v>
      </c>
      <c r="G441" s="8" t="s">
        <v>8</v>
      </c>
    </row>
    <row r="442" ht="14.25" customHeight="1">
      <c r="A442" s="1">
        <v>441.0</v>
      </c>
      <c r="B442" s="1">
        <v>147.0</v>
      </c>
      <c r="C442" s="5" t="s">
        <v>445</v>
      </c>
      <c r="D442" s="6">
        <f>IFERROR(__xludf.DUMMYFUNCTION("COUNTA(SPLIT(TRIM(C442),"" ""))"),137.0)</f>
        <v>137</v>
      </c>
      <c r="E442" s="7">
        <f t="shared" si="1"/>
        <v>69</v>
      </c>
      <c r="F442" s="7" t="str">
        <f t="shared" si="2"/>
        <v>441.mp3</v>
      </c>
      <c r="G442" s="8" t="s">
        <v>8</v>
      </c>
    </row>
    <row r="443" ht="14.25" customHeight="1">
      <c r="A443" s="1">
        <v>442.0</v>
      </c>
      <c r="B443" s="1">
        <v>148.0</v>
      </c>
      <c r="C443" s="5" t="s">
        <v>446</v>
      </c>
      <c r="D443" s="6">
        <f>IFERROR(__xludf.DUMMYFUNCTION("COUNTA(SPLIT(TRIM(C443),"" ""))"),25.0)</f>
        <v>25</v>
      </c>
      <c r="E443" s="7">
        <f t="shared" si="1"/>
        <v>13</v>
      </c>
      <c r="F443" s="7" t="str">
        <f t="shared" si="2"/>
        <v>442.mp3</v>
      </c>
      <c r="G443" s="8" t="s">
        <v>8</v>
      </c>
    </row>
    <row r="444" ht="14.25" customHeight="1">
      <c r="A444" s="1">
        <v>443.0</v>
      </c>
      <c r="B444" s="1">
        <v>148.0</v>
      </c>
      <c r="C444" s="5" t="s">
        <v>447</v>
      </c>
      <c r="D444" s="6">
        <f>IFERROR(__xludf.DUMMYFUNCTION("COUNTA(SPLIT(TRIM(C444),"" ""))"),66.0)</f>
        <v>66</v>
      </c>
      <c r="E444" s="7">
        <f t="shared" si="1"/>
        <v>33</v>
      </c>
      <c r="F444" s="7" t="str">
        <f t="shared" si="2"/>
        <v>443.mp3</v>
      </c>
      <c r="G444" s="8" t="s">
        <v>8</v>
      </c>
    </row>
    <row r="445" ht="14.25" customHeight="1">
      <c r="A445" s="1">
        <v>444.0</v>
      </c>
      <c r="B445" s="1">
        <v>148.0</v>
      </c>
      <c r="C445" s="5" t="s">
        <v>448</v>
      </c>
      <c r="D445" s="6">
        <f>IFERROR(__xludf.DUMMYFUNCTION("COUNTA(SPLIT(TRIM(C445),"" ""))"),102.0)</f>
        <v>102</v>
      </c>
      <c r="E445" s="7">
        <f t="shared" si="1"/>
        <v>51</v>
      </c>
      <c r="F445" s="7" t="str">
        <f t="shared" si="2"/>
        <v>444.mp3</v>
      </c>
      <c r="G445" s="8" t="s">
        <v>8</v>
      </c>
    </row>
    <row r="446" ht="14.25" customHeight="1">
      <c r="A446" s="1">
        <v>445.0</v>
      </c>
      <c r="B446" s="1">
        <v>149.0</v>
      </c>
      <c r="C446" s="5" t="s">
        <v>449</v>
      </c>
      <c r="D446" s="6">
        <f>IFERROR(__xludf.DUMMYFUNCTION("COUNTA(SPLIT(TRIM(C446),"" ""))"),25.0)</f>
        <v>25</v>
      </c>
      <c r="E446" s="7">
        <f t="shared" si="1"/>
        <v>13</v>
      </c>
      <c r="F446" s="7" t="str">
        <f t="shared" si="2"/>
        <v>445.mp3</v>
      </c>
      <c r="G446" s="8" t="s">
        <v>8</v>
      </c>
    </row>
    <row r="447" ht="14.25" customHeight="1">
      <c r="A447" s="1">
        <v>446.0</v>
      </c>
      <c r="B447" s="1">
        <v>149.0</v>
      </c>
      <c r="C447" s="5" t="s">
        <v>450</v>
      </c>
      <c r="D447" s="6">
        <f>IFERROR(__xludf.DUMMYFUNCTION("COUNTA(SPLIT(TRIM(C447),"" ""))"),64.0)</f>
        <v>64</v>
      </c>
      <c r="E447" s="7">
        <f t="shared" si="1"/>
        <v>32</v>
      </c>
      <c r="F447" s="7" t="str">
        <f t="shared" si="2"/>
        <v>446.mp3</v>
      </c>
      <c r="G447" s="8" t="s">
        <v>8</v>
      </c>
    </row>
    <row r="448" ht="14.25" customHeight="1">
      <c r="A448" s="1">
        <v>447.0</v>
      </c>
      <c r="B448" s="1">
        <v>149.0</v>
      </c>
      <c r="C448" s="5" t="s">
        <v>451</v>
      </c>
      <c r="D448" s="6">
        <f>IFERROR(__xludf.DUMMYFUNCTION("COUNTA(SPLIT(TRIM(C448),"" ""))"),105.0)</f>
        <v>105</v>
      </c>
      <c r="E448" s="7">
        <f t="shared" si="1"/>
        <v>53</v>
      </c>
      <c r="F448" s="7" t="str">
        <f t="shared" si="2"/>
        <v>447.mp3</v>
      </c>
      <c r="G448" s="8" t="s">
        <v>8</v>
      </c>
    </row>
    <row r="449" ht="14.25" customHeight="1">
      <c r="A449" s="1">
        <v>448.0</v>
      </c>
      <c r="B449" s="1">
        <v>150.0</v>
      </c>
      <c r="C449" s="5" t="s">
        <v>452</v>
      </c>
      <c r="D449" s="6">
        <f>IFERROR(__xludf.DUMMYFUNCTION("COUNTA(SPLIT(TRIM(C449),"" ""))"),29.0)</f>
        <v>29</v>
      </c>
      <c r="E449" s="7">
        <f t="shared" si="1"/>
        <v>15</v>
      </c>
      <c r="F449" s="7" t="str">
        <f t="shared" si="2"/>
        <v>448.mp3</v>
      </c>
      <c r="G449" s="8" t="s">
        <v>8</v>
      </c>
    </row>
    <row r="450" ht="14.25" customHeight="1">
      <c r="A450" s="1">
        <v>449.0</v>
      </c>
      <c r="B450" s="1">
        <v>150.0</v>
      </c>
      <c r="C450" s="5" t="s">
        <v>453</v>
      </c>
      <c r="D450" s="6">
        <f>IFERROR(__xludf.DUMMYFUNCTION("COUNTA(SPLIT(TRIM(C450),"" ""))"),85.0)</f>
        <v>85</v>
      </c>
      <c r="E450" s="7">
        <f t="shared" si="1"/>
        <v>43</v>
      </c>
      <c r="F450" s="7" t="str">
        <f t="shared" si="2"/>
        <v>449.mp3</v>
      </c>
      <c r="G450" s="8" t="s">
        <v>8</v>
      </c>
    </row>
    <row r="451" ht="14.25" customHeight="1">
      <c r="A451" s="1">
        <v>450.0</v>
      </c>
      <c r="B451" s="1">
        <v>150.0</v>
      </c>
      <c r="C451" s="5" t="s">
        <v>454</v>
      </c>
      <c r="D451" s="6">
        <f>IFERROR(__xludf.DUMMYFUNCTION("COUNTA(SPLIT(TRIM(C451),"" ""))"),169.0)</f>
        <v>169</v>
      </c>
      <c r="E451" s="7">
        <f t="shared" si="1"/>
        <v>85</v>
      </c>
      <c r="F451" s="7" t="str">
        <f t="shared" si="2"/>
        <v>450.mp3</v>
      </c>
      <c r="G451" s="8" t="s">
        <v>8</v>
      </c>
    </row>
    <row r="452" ht="14.25" customHeight="1">
      <c r="A452" s="1">
        <v>451.0</v>
      </c>
      <c r="B452" s="1">
        <v>151.0</v>
      </c>
      <c r="C452" s="5" t="s">
        <v>455</v>
      </c>
      <c r="D452" s="6">
        <f>IFERROR(__xludf.DUMMYFUNCTION("COUNTA(SPLIT(TRIM(C452),"" ""))"),27.0)</f>
        <v>27</v>
      </c>
      <c r="E452" s="7">
        <f t="shared" si="1"/>
        <v>14</v>
      </c>
      <c r="F452" s="7" t="str">
        <f t="shared" si="2"/>
        <v>451.mp3</v>
      </c>
      <c r="G452" s="8" t="s">
        <v>8</v>
      </c>
    </row>
    <row r="453" ht="14.25" customHeight="1">
      <c r="A453" s="1">
        <v>452.0</v>
      </c>
      <c r="B453" s="1">
        <v>151.0</v>
      </c>
      <c r="C453" s="5" t="s">
        <v>456</v>
      </c>
      <c r="D453" s="6">
        <f>IFERROR(__xludf.DUMMYFUNCTION("COUNTA(SPLIT(TRIM(C453),"" ""))"),74.0)</f>
        <v>74</v>
      </c>
      <c r="E453" s="7">
        <f t="shared" si="1"/>
        <v>37</v>
      </c>
      <c r="F453" s="7" t="str">
        <f t="shared" si="2"/>
        <v>452.mp3</v>
      </c>
      <c r="G453" s="8" t="s">
        <v>8</v>
      </c>
    </row>
    <row r="454" ht="14.25" customHeight="1">
      <c r="A454" s="1">
        <v>453.0</v>
      </c>
      <c r="B454" s="1">
        <v>151.0</v>
      </c>
      <c r="C454" s="5" t="s">
        <v>457</v>
      </c>
      <c r="D454" s="6">
        <f>IFERROR(__xludf.DUMMYFUNCTION("COUNTA(SPLIT(TRIM(C454),"" ""))"),130.0)</f>
        <v>130</v>
      </c>
      <c r="E454" s="7">
        <f t="shared" si="1"/>
        <v>65</v>
      </c>
      <c r="F454" s="7" t="str">
        <f t="shared" si="2"/>
        <v>453.mp3</v>
      </c>
      <c r="G454" s="8" t="s">
        <v>8</v>
      </c>
    </row>
    <row r="455" ht="14.25" customHeight="1">
      <c r="A455" s="1">
        <v>454.0</v>
      </c>
      <c r="B455" s="1">
        <v>152.0</v>
      </c>
      <c r="C455" s="5" t="s">
        <v>458</v>
      </c>
      <c r="D455" s="6">
        <f>IFERROR(__xludf.DUMMYFUNCTION("COUNTA(SPLIT(TRIM(C455),"" ""))"),26.0)</f>
        <v>26</v>
      </c>
      <c r="E455" s="7">
        <f t="shared" si="1"/>
        <v>13</v>
      </c>
      <c r="F455" s="7" t="str">
        <f t="shared" si="2"/>
        <v>454.mp3</v>
      </c>
      <c r="G455" s="8" t="s">
        <v>8</v>
      </c>
    </row>
    <row r="456" ht="14.25" customHeight="1">
      <c r="A456" s="1">
        <v>455.0</v>
      </c>
      <c r="B456" s="1">
        <v>152.0</v>
      </c>
      <c r="C456" s="5" t="s">
        <v>459</v>
      </c>
      <c r="D456" s="6">
        <f>IFERROR(__xludf.DUMMYFUNCTION("COUNTA(SPLIT(TRIM(C456),"" ""))"),81.0)</f>
        <v>81</v>
      </c>
      <c r="E456" s="7">
        <f t="shared" si="1"/>
        <v>41</v>
      </c>
      <c r="F456" s="7" t="str">
        <f t="shared" si="2"/>
        <v>455.mp3</v>
      </c>
      <c r="G456" s="8" t="s">
        <v>8</v>
      </c>
    </row>
    <row r="457" ht="14.25" customHeight="1">
      <c r="A457" s="1">
        <v>456.0</v>
      </c>
      <c r="B457" s="1">
        <v>152.0</v>
      </c>
      <c r="C457" s="5" t="s">
        <v>460</v>
      </c>
      <c r="D457" s="6">
        <f>IFERROR(__xludf.DUMMYFUNCTION("COUNTA(SPLIT(TRIM(C457),"" ""))"),136.0)</f>
        <v>136</v>
      </c>
      <c r="E457" s="7">
        <f t="shared" si="1"/>
        <v>68</v>
      </c>
      <c r="F457" s="7" t="str">
        <f t="shared" si="2"/>
        <v>456.mp3</v>
      </c>
      <c r="G457" s="8" t="s">
        <v>8</v>
      </c>
    </row>
    <row r="458" ht="14.25" customHeight="1">
      <c r="A458" s="1">
        <v>457.0</v>
      </c>
      <c r="B458" s="1">
        <v>153.0</v>
      </c>
      <c r="C458" s="5" t="s">
        <v>461</v>
      </c>
      <c r="D458" s="6">
        <f>IFERROR(__xludf.DUMMYFUNCTION("COUNTA(SPLIT(TRIM(C458),"" ""))"),27.0)</f>
        <v>27</v>
      </c>
      <c r="E458" s="7">
        <f t="shared" si="1"/>
        <v>14</v>
      </c>
      <c r="F458" s="7" t="str">
        <f t="shared" si="2"/>
        <v>457.mp3</v>
      </c>
      <c r="G458" s="8" t="s">
        <v>8</v>
      </c>
    </row>
    <row r="459" ht="14.25" customHeight="1">
      <c r="A459" s="1">
        <v>458.0</v>
      </c>
      <c r="B459" s="1">
        <v>153.0</v>
      </c>
      <c r="C459" s="5" t="s">
        <v>462</v>
      </c>
      <c r="D459" s="6">
        <f>IFERROR(__xludf.DUMMYFUNCTION("COUNTA(SPLIT(TRIM(C459),"" ""))"),76.0)</f>
        <v>76</v>
      </c>
      <c r="E459" s="7">
        <f t="shared" si="1"/>
        <v>38</v>
      </c>
      <c r="F459" s="7" t="str">
        <f t="shared" si="2"/>
        <v>458.mp3</v>
      </c>
      <c r="G459" s="8" t="s">
        <v>8</v>
      </c>
    </row>
    <row r="460" ht="14.25" customHeight="1">
      <c r="A460" s="1">
        <v>459.0</v>
      </c>
      <c r="B460" s="1">
        <v>153.0</v>
      </c>
      <c r="C460" s="5" t="s">
        <v>463</v>
      </c>
      <c r="D460" s="6">
        <f>IFERROR(__xludf.DUMMYFUNCTION("COUNTA(SPLIT(TRIM(C460),"" ""))"),137.0)</f>
        <v>137</v>
      </c>
      <c r="E460" s="7">
        <f t="shared" si="1"/>
        <v>69</v>
      </c>
      <c r="F460" s="7" t="str">
        <f t="shared" si="2"/>
        <v>459.mp3</v>
      </c>
      <c r="G460" s="8" t="s">
        <v>8</v>
      </c>
    </row>
    <row r="461" ht="14.25" customHeight="1">
      <c r="A461" s="1">
        <v>460.0</v>
      </c>
      <c r="B461" s="1">
        <v>154.0</v>
      </c>
      <c r="C461" s="5" t="s">
        <v>464</v>
      </c>
      <c r="D461" s="6">
        <f>IFERROR(__xludf.DUMMYFUNCTION("COUNTA(SPLIT(TRIM(C461),"" ""))"),29.0)</f>
        <v>29</v>
      </c>
      <c r="E461" s="7">
        <f t="shared" si="1"/>
        <v>15</v>
      </c>
      <c r="F461" s="7" t="str">
        <f t="shared" si="2"/>
        <v>460.mp3</v>
      </c>
      <c r="G461" s="8" t="s">
        <v>8</v>
      </c>
    </row>
    <row r="462" ht="14.25" customHeight="1">
      <c r="A462" s="1">
        <v>461.0</v>
      </c>
      <c r="B462" s="1">
        <v>154.0</v>
      </c>
      <c r="C462" s="5" t="s">
        <v>465</v>
      </c>
      <c r="D462" s="6">
        <f>IFERROR(__xludf.DUMMYFUNCTION("COUNTA(SPLIT(TRIM(C462),"" ""))"),89.0)</f>
        <v>89</v>
      </c>
      <c r="E462" s="7">
        <f t="shared" si="1"/>
        <v>45</v>
      </c>
      <c r="F462" s="7" t="str">
        <f t="shared" si="2"/>
        <v>461.mp3</v>
      </c>
      <c r="G462" s="8" t="s">
        <v>8</v>
      </c>
    </row>
    <row r="463" ht="14.25" customHeight="1">
      <c r="A463" s="1">
        <v>462.0</v>
      </c>
      <c r="B463" s="1">
        <v>154.0</v>
      </c>
      <c r="C463" s="5" t="s">
        <v>466</v>
      </c>
      <c r="D463" s="6">
        <f>IFERROR(__xludf.DUMMYFUNCTION("COUNTA(SPLIT(TRIM(C463),"" ""))"),148.0)</f>
        <v>148</v>
      </c>
      <c r="E463" s="7">
        <f t="shared" si="1"/>
        <v>74</v>
      </c>
      <c r="F463" s="7" t="str">
        <f t="shared" si="2"/>
        <v>462.mp3</v>
      </c>
      <c r="G463" s="8" t="s">
        <v>8</v>
      </c>
    </row>
    <row r="464" ht="14.25" customHeight="1">
      <c r="A464" s="1">
        <v>463.0</v>
      </c>
      <c r="B464" s="1">
        <v>155.0</v>
      </c>
      <c r="C464" s="5" t="s">
        <v>467</v>
      </c>
      <c r="D464" s="6">
        <f>IFERROR(__xludf.DUMMYFUNCTION("COUNTA(SPLIT(TRIM(C464),"" ""))"),28.0)</f>
        <v>28</v>
      </c>
      <c r="E464" s="7">
        <f t="shared" si="1"/>
        <v>14</v>
      </c>
      <c r="F464" s="7" t="str">
        <f t="shared" si="2"/>
        <v>463.mp3</v>
      </c>
      <c r="G464" s="8" t="s">
        <v>8</v>
      </c>
    </row>
    <row r="465" ht="14.25" customHeight="1">
      <c r="A465" s="1">
        <v>464.0</v>
      </c>
      <c r="B465" s="1">
        <v>155.0</v>
      </c>
      <c r="C465" s="5" t="s">
        <v>468</v>
      </c>
      <c r="D465" s="6">
        <f>IFERROR(__xludf.DUMMYFUNCTION("COUNTA(SPLIT(TRIM(C465),"" ""))"),105.0)</f>
        <v>105</v>
      </c>
      <c r="E465" s="7">
        <f t="shared" si="1"/>
        <v>53</v>
      </c>
      <c r="F465" s="7" t="str">
        <f t="shared" si="2"/>
        <v>464.mp3</v>
      </c>
      <c r="G465" s="8" t="s">
        <v>8</v>
      </c>
    </row>
    <row r="466" ht="14.25" customHeight="1">
      <c r="A466" s="1">
        <v>465.0</v>
      </c>
      <c r="B466" s="1">
        <v>155.0</v>
      </c>
      <c r="C466" s="5" t="s">
        <v>469</v>
      </c>
      <c r="D466" s="6">
        <f>IFERROR(__xludf.DUMMYFUNCTION("COUNTA(SPLIT(TRIM(C466),"" ""))"),169.0)</f>
        <v>169</v>
      </c>
      <c r="E466" s="7">
        <f t="shared" si="1"/>
        <v>85</v>
      </c>
      <c r="F466" s="7" t="str">
        <f t="shared" si="2"/>
        <v>465.mp3</v>
      </c>
      <c r="G466" s="8" t="s">
        <v>8</v>
      </c>
    </row>
    <row r="467" ht="14.25" customHeight="1">
      <c r="A467" s="1">
        <v>466.0</v>
      </c>
      <c r="B467" s="1">
        <v>156.0</v>
      </c>
      <c r="C467" s="5" t="s">
        <v>470</v>
      </c>
      <c r="D467" s="6">
        <f>IFERROR(__xludf.DUMMYFUNCTION("COUNTA(SPLIT(TRIM(C467),"" ""))"),27.0)</f>
        <v>27</v>
      </c>
      <c r="E467" s="7">
        <f t="shared" si="1"/>
        <v>14</v>
      </c>
      <c r="F467" s="7" t="str">
        <f t="shared" si="2"/>
        <v>466.mp3</v>
      </c>
      <c r="G467" s="8" t="s">
        <v>8</v>
      </c>
    </row>
    <row r="468" ht="14.25" customHeight="1">
      <c r="A468" s="1">
        <v>467.0</v>
      </c>
      <c r="B468" s="1">
        <v>156.0</v>
      </c>
      <c r="C468" s="5" t="s">
        <v>471</v>
      </c>
      <c r="D468" s="6">
        <f>IFERROR(__xludf.DUMMYFUNCTION("COUNTA(SPLIT(TRIM(C468),"" ""))"),92.0)</f>
        <v>92</v>
      </c>
      <c r="E468" s="7">
        <f t="shared" si="1"/>
        <v>46</v>
      </c>
      <c r="F468" s="7" t="str">
        <f t="shared" si="2"/>
        <v>467.mp3</v>
      </c>
      <c r="G468" s="8" t="s">
        <v>8</v>
      </c>
    </row>
    <row r="469" ht="14.25" customHeight="1">
      <c r="A469" s="1">
        <v>468.0</v>
      </c>
      <c r="B469" s="1">
        <v>156.0</v>
      </c>
      <c r="C469" s="5" t="s">
        <v>472</v>
      </c>
      <c r="D469" s="6">
        <f>IFERROR(__xludf.DUMMYFUNCTION("COUNTA(SPLIT(TRIM(C469),"" ""))"),130.0)</f>
        <v>130</v>
      </c>
      <c r="E469" s="7">
        <f t="shared" si="1"/>
        <v>65</v>
      </c>
      <c r="F469" s="7" t="str">
        <f t="shared" si="2"/>
        <v>468.mp3</v>
      </c>
      <c r="G469" s="8" t="s">
        <v>8</v>
      </c>
    </row>
    <row r="470" ht="14.25" customHeight="1">
      <c r="A470" s="1">
        <v>469.0</v>
      </c>
      <c r="B470" s="1">
        <v>157.0</v>
      </c>
      <c r="C470" s="5" t="s">
        <v>473</v>
      </c>
      <c r="D470" s="6">
        <f>IFERROR(__xludf.DUMMYFUNCTION("COUNTA(SPLIT(TRIM(C470),"" ""))"),28.0)</f>
        <v>28</v>
      </c>
      <c r="E470" s="7">
        <f t="shared" si="1"/>
        <v>14</v>
      </c>
      <c r="F470" s="7" t="str">
        <f t="shared" si="2"/>
        <v>469.mp3</v>
      </c>
      <c r="G470" s="8" t="s">
        <v>8</v>
      </c>
    </row>
    <row r="471" ht="14.25" customHeight="1">
      <c r="A471" s="1">
        <v>470.0</v>
      </c>
      <c r="B471" s="1">
        <v>157.0</v>
      </c>
      <c r="C471" s="5" t="s">
        <v>474</v>
      </c>
      <c r="D471" s="6">
        <f>IFERROR(__xludf.DUMMYFUNCTION("COUNTA(SPLIT(TRIM(C471),"" ""))"),100.0)</f>
        <v>100</v>
      </c>
      <c r="E471" s="7">
        <f t="shared" si="1"/>
        <v>50</v>
      </c>
      <c r="F471" s="7" t="str">
        <f t="shared" si="2"/>
        <v>470.mp3</v>
      </c>
      <c r="G471" s="8" t="s">
        <v>8</v>
      </c>
    </row>
    <row r="472" ht="14.25" customHeight="1">
      <c r="A472" s="1">
        <v>471.0</v>
      </c>
      <c r="B472" s="1">
        <v>157.0</v>
      </c>
      <c r="C472" s="5" t="s">
        <v>475</v>
      </c>
      <c r="D472" s="6">
        <f>IFERROR(__xludf.DUMMYFUNCTION("COUNTA(SPLIT(TRIM(C472),"" ""))"),164.0)</f>
        <v>164</v>
      </c>
      <c r="E472" s="7">
        <f t="shared" si="1"/>
        <v>82</v>
      </c>
      <c r="F472" s="7" t="str">
        <f t="shared" si="2"/>
        <v>471.mp3</v>
      </c>
      <c r="G472" s="8" t="s">
        <v>8</v>
      </c>
    </row>
    <row r="473" ht="14.25" customHeight="1">
      <c r="A473" s="1">
        <v>472.0</v>
      </c>
      <c r="B473" s="1">
        <v>158.0</v>
      </c>
      <c r="C473" s="5" t="s">
        <v>476</v>
      </c>
      <c r="D473" s="6">
        <f>IFERROR(__xludf.DUMMYFUNCTION("COUNTA(SPLIT(TRIM(C473),"" ""))"),28.0)</f>
        <v>28</v>
      </c>
      <c r="E473" s="7">
        <f t="shared" si="1"/>
        <v>14</v>
      </c>
      <c r="F473" s="7" t="str">
        <f t="shared" si="2"/>
        <v>472.mp3</v>
      </c>
      <c r="G473" s="8" t="s">
        <v>8</v>
      </c>
    </row>
    <row r="474" ht="14.25" customHeight="1">
      <c r="A474" s="1">
        <v>473.0</v>
      </c>
      <c r="B474" s="1">
        <v>158.0</v>
      </c>
      <c r="C474" s="5" t="s">
        <v>477</v>
      </c>
      <c r="D474" s="6">
        <f>IFERROR(__xludf.DUMMYFUNCTION("COUNTA(SPLIT(TRIM(C474),"" ""))"),103.0)</f>
        <v>103</v>
      </c>
      <c r="E474" s="7">
        <f t="shared" si="1"/>
        <v>52</v>
      </c>
      <c r="F474" s="7" t="str">
        <f t="shared" si="2"/>
        <v>473.mp3</v>
      </c>
      <c r="G474" s="8" t="s">
        <v>8</v>
      </c>
    </row>
    <row r="475" ht="14.25" customHeight="1">
      <c r="A475" s="1">
        <v>474.0</v>
      </c>
      <c r="B475" s="1">
        <v>158.0</v>
      </c>
      <c r="C475" s="5" t="s">
        <v>478</v>
      </c>
      <c r="D475" s="6">
        <f>IFERROR(__xludf.DUMMYFUNCTION("COUNTA(SPLIT(TRIM(C475),"" ""))"),163.0)</f>
        <v>163</v>
      </c>
      <c r="E475" s="7">
        <f t="shared" si="1"/>
        <v>82</v>
      </c>
      <c r="F475" s="7" t="str">
        <f t="shared" si="2"/>
        <v>474.mp3</v>
      </c>
      <c r="G475" s="8" t="s">
        <v>8</v>
      </c>
    </row>
    <row r="476" ht="14.25" customHeight="1">
      <c r="A476" s="1">
        <v>475.0</v>
      </c>
      <c r="B476" s="1">
        <v>159.0</v>
      </c>
      <c r="C476" s="5" t="s">
        <v>479</v>
      </c>
      <c r="D476" s="6">
        <f>IFERROR(__xludf.DUMMYFUNCTION("COUNTA(SPLIT(TRIM(C476),"" ""))"),26.0)</f>
        <v>26</v>
      </c>
      <c r="E476" s="7">
        <f t="shared" si="1"/>
        <v>13</v>
      </c>
      <c r="F476" s="7" t="str">
        <f t="shared" si="2"/>
        <v>475.mp3</v>
      </c>
      <c r="G476" s="8" t="s">
        <v>8</v>
      </c>
    </row>
    <row r="477" ht="14.25" customHeight="1">
      <c r="A477" s="1">
        <v>476.0</v>
      </c>
      <c r="B477" s="1">
        <v>159.0</v>
      </c>
      <c r="C477" s="5" t="s">
        <v>480</v>
      </c>
      <c r="D477" s="6">
        <f>IFERROR(__xludf.DUMMYFUNCTION("COUNTA(SPLIT(TRIM(C477),"" ""))"),86.0)</f>
        <v>86</v>
      </c>
      <c r="E477" s="7">
        <f t="shared" si="1"/>
        <v>43</v>
      </c>
      <c r="F477" s="7" t="str">
        <f t="shared" si="2"/>
        <v>476.mp3</v>
      </c>
      <c r="G477" s="8" t="s">
        <v>8</v>
      </c>
    </row>
    <row r="478" ht="14.25" customHeight="1">
      <c r="A478" s="1">
        <v>477.0</v>
      </c>
      <c r="B478" s="1">
        <v>159.0</v>
      </c>
      <c r="C478" s="5" t="s">
        <v>481</v>
      </c>
      <c r="D478" s="6">
        <f>IFERROR(__xludf.DUMMYFUNCTION("COUNTA(SPLIT(TRIM(C478),"" ""))"),145.0)</f>
        <v>145</v>
      </c>
      <c r="E478" s="7">
        <f t="shared" si="1"/>
        <v>73</v>
      </c>
      <c r="F478" s="7" t="str">
        <f t="shared" si="2"/>
        <v>477.mp3</v>
      </c>
      <c r="G478" s="8" t="s">
        <v>8</v>
      </c>
    </row>
    <row r="479" ht="14.25" customHeight="1">
      <c r="A479" s="1">
        <v>478.0</v>
      </c>
      <c r="B479" s="1">
        <v>160.0</v>
      </c>
      <c r="C479" s="5" t="s">
        <v>482</v>
      </c>
      <c r="D479" s="6">
        <f>IFERROR(__xludf.DUMMYFUNCTION("COUNTA(SPLIT(TRIM(C479),"" ""))"),27.0)</f>
        <v>27</v>
      </c>
      <c r="E479" s="7">
        <f t="shared" si="1"/>
        <v>14</v>
      </c>
      <c r="F479" s="7" t="str">
        <f t="shared" si="2"/>
        <v>478.mp3</v>
      </c>
      <c r="G479" s="8" t="s">
        <v>8</v>
      </c>
    </row>
    <row r="480" ht="14.25" customHeight="1">
      <c r="A480" s="1">
        <v>479.0</v>
      </c>
      <c r="B480" s="1">
        <v>160.0</v>
      </c>
      <c r="C480" s="5" t="s">
        <v>483</v>
      </c>
      <c r="D480" s="6">
        <f>IFERROR(__xludf.DUMMYFUNCTION("COUNTA(SPLIT(TRIM(C480),"" ""))"),89.0)</f>
        <v>89</v>
      </c>
      <c r="E480" s="7">
        <f t="shared" si="1"/>
        <v>45</v>
      </c>
      <c r="F480" s="7" t="str">
        <f t="shared" si="2"/>
        <v>479.mp3</v>
      </c>
      <c r="G480" s="8" t="s">
        <v>8</v>
      </c>
    </row>
    <row r="481" ht="14.25" customHeight="1">
      <c r="A481" s="1">
        <v>480.0</v>
      </c>
      <c r="B481" s="1">
        <v>160.0</v>
      </c>
      <c r="C481" s="5" t="s">
        <v>484</v>
      </c>
      <c r="D481" s="6">
        <f>IFERROR(__xludf.DUMMYFUNCTION("COUNTA(SPLIT(TRIM(C481),"" ""))"),161.0)</f>
        <v>161</v>
      </c>
      <c r="E481" s="7">
        <f t="shared" si="1"/>
        <v>81</v>
      </c>
      <c r="F481" s="7" t="str">
        <f t="shared" si="2"/>
        <v>480.mp3</v>
      </c>
      <c r="G481" s="8" t="s">
        <v>8</v>
      </c>
    </row>
    <row r="482" ht="14.25" customHeight="1">
      <c r="A482" s="1">
        <v>481.0</v>
      </c>
      <c r="B482" s="1">
        <v>161.0</v>
      </c>
      <c r="C482" s="5" t="s">
        <v>485</v>
      </c>
      <c r="D482" s="6">
        <f>IFERROR(__xludf.DUMMYFUNCTION("COUNTA(SPLIT(TRIM(C482),"" ""))"),30.0)</f>
        <v>30</v>
      </c>
      <c r="E482" s="7">
        <f t="shared" si="1"/>
        <v>15</v>
      </c>
      <c r="F482" s="7" t="str">
        <f t="shared" si="2"/>
        <v>481.mp3</v>
      </c>
      <c r="G482" s="8" t="s">
        <v>8</v>
      </c>
    </row>
    <row r="483" ht="14.25" customHeight="1">
      <c r="A483" s="1">
        <v>482.0</v>
      </c>
      <c r="B483" s="1">
        <v>161.0</v>
      </c>
      <c r="C483" s="5" t="s">
        <v>486</v>
      </c>
      <c r="D483" s="6">
        <f>IFERROR(__xludf.DUMMYFUNCTION("COUNTA(SPLIT(TRIM(C483),"" ""))"),103.0)</f>
        <v>103</v>
      </c>
      <c r="E483" s="7">
        <f t="shared" si="1"/>
        <v>52</v>
      </c>
      <c r="F483" s="7" t="str">
        <f t="shared" si="2"/>
        <v>482.mp3</v>
      </c>
      <c r="G483" s="8" t="s">
        <v>8</v>
      </c>
    </row>
    <row r="484" ht="14.25" customHeight="1">
      <c r="A484" s="1">
        <v>483.0</v>
      </c>
      <c r="B484" s="1">
        <v>161.0</v>
      </c>
      <c r="C484" s="5" t="s">
        <v>487</v>
      </c>
      <c r="D484" s="6">
        <f>IFERROR(__xludf.DUMMYFUNCTION("COUNTA(SPLIT(TRIM(C484),"" ""))"),137.0)</f>
        <v>137</v>
      </c>
      <c r="E484" s="7">
        <f t="shared" si="1"/>
        <v>69</v>
      </c>
      <c r="F484" s="7" t="str">
        <f t="shared" si="2"/>
        <v>483.mp3</v>
      </c>
      <c r="G484" s="8" t="s">
        <v>8</v>
      </c>
    </row>
    <row r="485" ht="14.25" customHeight="1">
      <c r="A485" s="1">
        <v>484.0</v>
      </c>
      <c r="B485" s="1">
        <v>162.0</v>
      </c>
      <c r="C485" s="5" t="s">
        <v>488</v>
      </c>
      <c r="D485" s="6">
        <f>IFERROR(__xludf.DUMMYFUNCTION("COUNTA(SPLIT(TRIM(C485),"" ""))"),26.0)</f>
        <v>26</v>
      </c>
      <c r="E485" s="7">
        <f t="shared" si="1"/>
        <v>13</v>
      </c>
      <c r="F485" s="7" t="str">
        <f t="shared" si="2"/>
        <v>484.mp3</v>
      </c>
      <c r="G485" s="8" t="s">
        <v>8</v>
      </c>
    </row>
    <row r="486" ht="14.25" customHeight="1">
      <c r="A486" s="1">
        <v>485.0</v>
      </c>
      <c r="B486" s="1">
        <v>162.0</v>
      </c>
      <c r="C486" s="5" t="s">
        <v>489</v>
      </c>
      <c r="D486" s="6">
        <f>IFERROR(__xludf.DUMMYFUNCTION("COUNTA(SPLIT(TRIM(C486),"" ""))"),104.0)</f>
        <v>104</v>
      </c>
      <c r="E486" s="7">
        <f t="shared" si="1"/>
        <v>52</v>
      </c>
      <c r="F486" s="7" t="str">
        <f t="shared" si="2"/>
        <v>485.mp3</v>
      </c>
      <c r="G486" s="8" t="s">
        <v>8</v>
      </c>
    </row>
    <row r="487" ht="14.25" customHeight="1">
      <c r="A487" s="1">
        <v>486.0</v>
      </c>
      <c r="B487" s="1">
        <v>162.0</v>
      </c>
      <c r="C487" s="5" t="s">
        <v>490</v>
      </c>
      <c r="D487" s="6">
        <f>IFERROR(__xludf.DUMMYFUNCTION("COUNTA(SPLIT(TRIM(C487),"" ""))"),158.0)</f>
        <v>158</v>
      </c>
      <c r="E487" s="7">
        <f t="shared" si="1"/>
        <v>79</v>
      </c>
      <c r="F487" s="7" t="str">
        <f t="shared" si="2"/>
        <v>486.mp3</v>
      </c>
      <c r="G487" s="8" t="s">
        <v>8</v>
      </c>
    </row>
    <row r="488" ht="14.25" customHeight="1">
      <c r="A488" s="1">
        <v>487.0</v>
      </c>
      <c r="B488" s="1">
        <v>163.0</v>
      </c>
      <c r="C488" s="5" t="s">
        <v>491</v>
      </c>
      <c r="D488" s="6">
        <f>IFERROR(__xludf.DUMMYFUNCTION("COUNTA(SPLIT(TRIM(C488),"" ""))"),28.0)</f>
        <v>28</v>
      </c>
      <c r="E488" s="7">
        <f t="shared" si="1"/>
        <v>14</v>
      </c>
      <c r="F488" s="7" t="str">
        <f t="shared" si="2"/>
        <v>487.mp3</v>
      </c>
      <c r="G488" s="8" t="s">
        <v>8</v>
      </c>
    </row>
    <row r="489" ht="14.25" customHeight="1">
      <c r="A489" s="1">
        <v>488.0</v>
      </c>
      <c r="B489" s="1">
        <v>163.0</v>
      </c>
      <c r="C489" s="5" t="s">
        <v>492</v>
      </c>
      <c r="D489" s="6">
        <f>IFERROR(__xludf.DUMMYFUNCTION("COUNTA(SPLIT(TRIM(C489),"" ""))"),95.0)</f>
        <v>95</v>
      </c>
      <c r="E489" s="7">
        <f t="shared" si="1"/>
        <v>48</v>
      </c>
      <c r="F489" s="7" t="str">
        <f t="shared" si="2"/>
        <v>488.mp3</v>
      </c>
      <c r="G489" s="8" t="s">
        <v>8</v>
      </c>
    </row>
    <row r="490" ht="14.25" customHeight="1">
      <c r="A490" s="1">
        <v>489.0</v>
      </c>
      <c r="B490" s="1">
        <v>163.0</v>
      </c>
      <c r="C490" s="5" t="s">
        <v>493</v>
      </c>
      <c r="D490" s="6">
        <f>IFERROR(__xludf.DUMMYFUNCTION("COUNTA(SPLIT(TRIM(C490),"" ""))"),166.0)</f>
        <v>166</v>
      </c>
      <c r="E490" s="7">
        <f t="shared" si="1"/>
        <v>83</v>
      </c>
      <c r="F490" s="7" t="str">
        <f t="shared" si="2"/>
        <v>489.mp3</v>
      </c>
      <c r="G490" s="8" t="s">
        <v>8</v>
      </c>
    </row>
    <row r="491" ht="14.25" customHeight="1">
      <c r="A491" s="1">
        <v>490.0</v>
      </c>
      <c r="B491" s="1">
        <v>164.0</v>
      </c>
      <c r="C491" s="5" t="s">
        <v>494</v>
      </c>
      <c r="D491" s="6">
        <f>IFERROR(__xludf.DUMMYFUNCTION("COUNTA(SPLIT(TRIM(C491),"" ""))"),28.0)</f>
        <v>28</v>
      </c>
      <c r="E491" s="7">
        <f t="shared" si="1"/>
        <v>14</v>
      </c>
      <c r="F491" s="7" t="str">
        <f t="shared" si="2"/>
        <v>490.mp3</v>
      </c>
      <c r="G491" s="8" t="s">
        <v>8</v>
      </c>
    </row>
    <row r="492" ht="14.25" customHeight="1">
      <c r="A492" s="1">
        <v>491.0</v>
      </c>
      <c r="B492" s="1">
        <v>164.0</v>
      </c>
      <c r="C492" s="5" t="s">
        <v>495</v>
      </c>
      <c r="D492" s="6">
        <f>IFERROR(__xludf.DUMMYFUNCTION("COUNTA(SPLIT(TRIM(C492),"" ""))"),108.0)</f>
        <v>108</v>
      </c>
      <c r="E492" s="7">
        <f t="shared" si="1"/>
        <v>54</v>
      </c>
      <c r="F492" s="7" t="str">
        <f t="shared" si="2"/>
        <v>491.mp3</v>
      </c>
      <c r="G492" s="8" t="s">
        <v>8</v>
      </c>
    </row>
    <row r="493" ht="14.25" customHeight="1">
      <c r="A493" s="1">
        <v>492.0</v>
      </c>
      <c r="B493" s="1">
        <v>164.0</v>
      </c>
      <c r="C493" s="5" t="s">
        <v>496</v>
      </c>
      <c r="D493" s="6">
        <f>IFERROR(__xludf.DUMMYFUNCTION("COUNTA(SPLIT(TRIM(C493),"" ""))"),174.0)</f>
        <v>174</v>
      </c>
      <c r="E493" s="7">
        <f t="shared" si="1"/>
        <v>87</v>
      </c>
      <c r="F493" s="7" t="str">
        <f t="shared" si="2"/>
        <v>492.mp3</v>
      </c>
      <c r="G493" s="8" t="s">
        <v>8</v>
      </c>
    </row>
    <row r="494" ht="14.25" customHeight="1">
      <c r="A494" s="1">
        <v>493.0</v>
      </c>
      <c r="B494" s="1">
        <v>165.0</v>
      </c>
      <c r="C494" s="5" t="s">
        <v>497</v>
      </c>
      <c r="D494" s="6">
        <f>IFERROR(__xludf.DUMMYFUNCTION("COUNTA(SPLIT(TRIM(C494),"" ""))"),27.0)</f>
        <v>27</v>
      </c>
      <c r="E494" s="7">
        <f t="shared" si="1"/>
        <v>14</v>
      </c>
      <c r="F494" s="7" t="str">
        <f t="shared" si="2"/>
        <v>493.mp3</v>
      </c>
      <c r="G494" s="8" t="s">
        <v>8</v>
      </c>
    </row>
    <row r="495" ht="14.25" customHeight="1">
      <c r="A495" s="1">
        <v>494.0</v>
      </c>
      <c r="B495" s="1">
        <v>165.0</v>
      </c>
      <c r="C495" s="5" t="s">
        <v>498</v>
      </c>
      <c r="D495" s="6">
        <f>IFERROR(__xludf.DUMMYFUNCTION("COUNTA(SPLIT(TRIM(C495),"" ""))"),121.0)</f>
        <v>121</v>
      </c>
      <c r="E495" s="7">
        <f t="shared" si="1"/>
        <v>61</v>
      </c>
      <c r="F495" s="7" t="str">
        <f t="shared" si="2"/>
        <v>494.mp3</v>
      </c>
      <c r="G495" s="8" t="s">
        <v>8</v>
      </c>
    </row>
    <row r="496" ht="14.25" customHeight="1">
      <c r="A496" s="1">
        <v>495.0</v>
      </c>
      <c r="B496" s="1">
        <v>165.0</v>
      </c>
      <c r="C496" s="5" t="s">
        <v>499</v>
      </c>
      <c r="D496" s="6">
        <f>IFERROR(__xludf.DUMMYFUNCTION("COUNTA(SPLIT(TRIM(C496),"" ""))"),185.0)</f>
        <v>185</v>
      </c>
      <c r="E496" s="7">
        <f t="shared" si="1"/>
        <v>93</v>
      </c>
      <c r="F496" s="7" t="str">
        <f t="shared" si="2"/>
        <v>495.mp3</v>
      </c>
      <c r="G496" s="8" t="s">
        <v>8</v>
      </c>
    </row>
    <row r="497" ht="14.25" customHeight="1">
      <c r="A497" s="1">
        <v>496.0</v>
      </c>
      <c r="B497" s="1">
        <v>166.0</v>
      </c>
      <c r="C497" s="5" t="s">
        <v>500</v>
      </c>
      <c r="D497" s="6">
        <f>IFERROR(__xludf.DUMMYFUNCTION("COUNTA(SPLIT(TRIM(C497),"" ""))"),28.0)</f>
        <v>28</v>
      </c>
      <c r="E497" s="7">
        <f t="shared" si="1"/>
        <v>14</v>
      </c>
      <c r="F497" s="7" t="str">
        <f t="shared" si="2"/>
        <v>496.mp3</v>
      </c>
      <c r="G497" s="8" t="s">
        <v>8</v>
      </c>
    </row>
    <row r="498" ht="14.25" customHeight="1">
      <c r="A498" s="1">
        <v>497.0</v>
      </c>
      <c r="B498" s="1">
        <v>166.0</v>
      </c>
      <c r="C498" s="5" t="s">
        <v>501</v>
      </c>
      <c r="D498" s="6">
        <f>IFERROR(__xludf.DUMMYFUNCTION("COUNTA(SPLIT(TRIM(C498),"" ""))"),107.0)</f>
        <v>107</v>
      </c>
      <c r="E498" s="7">
        <f t="shared" si="1"/>
        <v>54</v>
      </c>
      <c r="F498" s="7" t="str">
        <f t="shared" si="2"/>
        <v>497.mp3</v>
      </c>
      <c r="G498" s="8" t="s">
        <v>8</v>
      </c>
    </row>
    <row r="499" ht="14.25" customHeight="1">
      <c r="A499" s="1">
        <v>498.0</v>
      </c>
      <c r="B499" s="1">
        <v>166.0</v>
      </c>
      <c r="C499" s="5" t="s">
        <v>502</v>
      </c>
      <c r="D499" s="6">
        <f>IFERROR(__xludf.DUMMYFUNCTION("COUNTA(SPLIT(TRIM(C499),"" ""))"),199.0)</f>
        <v>199</v>
      </c>
      <c r="E499" s="7">
        <f t="shared" si="1"/>
        <v>100</v>
      </c>
      <c r="F499" s="7" t="str">
        <f t="shared" si="2"/>
        <v>498.mp3</v>
      </c>
      <c r="G499" s="8" t="s">
        <v>8</v>
      </c>
    </row>
    <row r="500" ht="14.25" customHeight="1">
      <c r="A500" s="1">
        <v>499.0</v>
      </c>
      <c r="B500" s="1">
        <v>167.0</v>
      </c>
      <c r="C500" s="5" t="s">
        <v>503</v>
      </c>
      <c r="D500" s="6">
        <f>IFERROR(__xludf.DUMMYFUNCTION("COUNTA(SPLIT(TRIM(C500),"" ""))"),26.0)</f>
        <v>26</v>
      </c>
      <c r="E500" s="7">
        <f t="shared" si="1"/>
        <v>13</v>
      </c>
      <c r="F500" s="7" t="str">
        <f t="shared" si="2"/>
        <v>499.mp3</v>
      </c>
      <c r="G500" s="8" t="s">
        <v>8</v>
      </c>
    </row>
    <row r="501" ht="14.25" customHeight="1">
      <c r="A501" s="1">
        <v>500.0</v>
      </c>
      <c r="B501" s="1">
        <v>167.0</v>
      </c>
      <c r="C501" s="5" t="s">
        <v>504</v>
      </c>
      <c r="D501" s="6">
        <f>IFERROR(__xludf.DUMMYFUNCTION("COUNTA(SPLIT(TRIM(C501),"" ""))"),95.0)</f>
        <v>95</v>
      </c>
      <c r="E501" s="7">
        <f t="shared" si="1"/>
        <v>48</v>
      </c>
      <c r="F501" s="7" t="str">
        <f t="shared" si="2"/>
        <v>500.mp3</v>
      </c>
      <c r="G501" s="8" t="s">
        <v>8</v>
      </c>
    </row>
    <row r="502" ht="14.25" customHeight="1">
      <c r="A502" s="1">
        <v>501.0</v>
      </c>
      <c r="B502" s="1">
        <v>167.0</v>
      </c>
      <c r="C502" s="5" t="s">
        <v>505</v>
      </c>
      <c r="D502" s="6">
        <f>IFERROR(__xludf.DUMMYFUNCTION("COUNTA(SPLIT(TRIM(C502),"" ""))"),175.0)</f>
        <v>175</v>
      </c>
      <c r="E502" s="7">
        <f t="shared" si="1"/>
        <v>88</v>
      </c>
      <c r="F502" s="7" t="str">
        <f t="shared" si="2"/>
        <v>501.mp3</v>
      </c>
      <c r="G502" s="8" t="s">
        <v>8</v>
      </c>
    </row>
    <row r="503" ht="14.25" customHeight="1">
      <c r="A503" s="1">
        <v>502.0</v>
      </c>
      <c r="B503" s="1">
        <v>168.0</v>
      </c>
      <c r="C503" s="5" t="s">
        <v>506</v>
      </c>
      <c r="D503" s="6">
        <f>IFERROR(__xludf.DUMMYFUNCTION("COUNTA(SPLIT(TRIM(C503),"" ""))"),31.0)</f>
        <v>31</v>
      </c>
      <c r="E503" s="7">
        <f t="shared" si="1"/>
        <v>16</v>
      </c>
      <c r="F503" s="7" t="str">
        <f t="shared" si="2"/>
        <v>502.mp3</v>
      </c>
      <c r="G503" s="8" t="s">
        <v>8</v>
      </c>
    </row>
    <row r="504" ht="14.25" customHeight="1">
      <c r="A504" s="1">
        <v>503.0</v>
      </c>
      <c r="B504" s="1">
        <v>168.0</v>
      </c>
      <c r="C504" s="5" t="s">
        <v>507</v>
      </c>
      <c r="D504" s="6">
        <f>IFERROR(__xludf.DUMMYFUNCTION("COUNTA(SPLIT(TRIM(C504),"" ""))"),101.0)</f>
        <v>101</v>
      </c>
      <c r="E504" s="7">
        <f t="shared" si="1"/>
        <v>51</v>
      </c>
      <c r="F504" s="7" t="str">
        <f t="shared" si="2"/>
        <v>503.mp3</v>
      </c>
      <c r="G504" s="8" t="s">
        <v>8</v>
      </c>
    </row>
    <row r="505" ht="14.25" customHeight="1">
      <c r="A505" s="1">
        <v>504.0</v>
      </c>
      <c r="B505" s="1">
        <v>168.0</v>
      </c>
      <c r="C505" s="5" t="s">
        <v>508</v>
      </c>
      <c r="D505" s="6">
        <f>IFERROR(__xludf.DUMMYFUNCTION("COUNTA(SPLIT(TRIM(C505),"" ""))"),156.0)</f>
        <v>156</v>
      </c>
      <c r="E505" s="7">
        <f t="shared" si="1"/>
        <v>78</v>
      </c>
      <c r="F505" s="7" t="str">
        <f t="shared" si="2"/>
        <v>504.mp3</v>
      </c>
      <c r="G505" s="8" t="s">
        <v>8</v>
      </c>
    </row>
    <row r="506" ht="14.25" customHeight="1">
      <c r="A506" s="1">
        <v>505.0</v>
      </c>
      <c r="B506" s="1">
        <v>169.0</v>
      </c>
      <c r="C506" s="5" t="s">
        <v>509</v>
      </c>
      <c r="D506" s="6">
        <f>IFERROR(__xludf.DUMMYFUNCTION("COUNTA(SPLIT(TRIM(C506),"" ""))"),26.0)</f>
        <v>26</v>
      </c>
      <c r="E506" s="7">
        <f t="shared" si="1"/>
        <v>13</v>
      </c>
      <c r="F506" s="7" t="str">
        <f t="shared" si="2"/>
        <v>505.mp3</v>
      </c>
      <c r="G506" s="8" t="s">
        <v>8</v>
      </c>
    </row>
    <row r="507" ht="14.25" customHeight="1">
      <c r="A507" s="1">
        <v>506.0</v>
      </c>
      <c r="B507" s="1">
        <v>169.0</v>
      </c>
      <c r="C507" s="5" t="s">
        <v>510</v>
      </c>
      <c r="D507" s="6">
        <f>IFERROR(__xludf.DUMMYFUNCTION("COUNTA(SPLIT(TRIM(C507),"" ""))"),94.0)</f>
        <v>94</v>
      </c>
      <c r="E507" s="7">
        <f t="shared" si="1"/>
        <v>47</v>
      </c>
      <c r="F507" s="7" t="str">
        <f t="shared" si="2"/>
        <v>506.mp3</v>
      </c>
      <c r="G507" s="8" t="s">
        <v>8</v>
      </c>
    </row>
    <row r="508" ht="14.25" customHeight="1">
      <c r="A508" s="1">
        <v>507.0</v>
      </c>
      <c r="B508" s="1">
        <v>169.0</v>
      </c>
      <c r="C508" s="5" t="s">
        <v>511</v>
      </c>
      <c r="D508" s="6">
        <f>IFERROR(__xludf.DUMMYFUNCTION("COUNTA(SPLIT(TRIM(C508),"" ""))"),165.0)</f>
        <v>165</v>
      </c>
      <c r="E508" s="7">
        <f t="shared" si="1"/>
        <v>83</v>
      </c>
      <c r="F508" s="7" t="str">
        <f t="shared" si="2"/>
        <v>507.mp3</v>
      </c>
      <c r="G508" s="8" t="s">
        <v>8</v>
      </c>
    </row>
    <row r="509" ht="14.25" customHeight="1">
      <c r="A509" s="1">
        <v>508.0</v>
      </c>
      <c r="B509" s="1">
        <v>170.0</v>
      </c>
      <c r="C509" s="5" t="s">
        <v>512</v>
      </c>
      <c r="D509" s="6">
        <f>IFERROR(__xludf.DUMMYFUNCTION("COUNTA(SPLIT(TRIM(C509),"" ""))"),27.0)</f>
        <v>27</v>
      </c>
      <c r="E509" s="7">
        <f t="shared" si="1"/>
        <v>14</v>
      </c>
      <c r="F509" s="7" t="str">
        <f t="shared" si="2"/>
        <v>508.mp3</v>
      </c>
      <c r="G509" s="8" t="s">
        <v>8</v>
      </c>
    </row>
    <row r="510" ht="14.25" customHeight="1">
      <c r="A510" s="1">
        <v>509.0</v>
      </c>
      <c r="B510" s="1">
        <v>170.0</v>
      </c>
      <c r="C510" s="5" t="s">
        <v>513</v>
      </c>
      <c r="D510" s="6">
        <f>IFERROR(__xludf.DUMMYFUNCTION("COUNTA(SPLIT(TRIM(C510),"" ""))"),104.0)</f>
        <v>104</v>
      </c>
      <c r="E510" s="7">
        <f t="shared" si="1"/>
        <v>52</v>
      </c>
      <c r="F510" s="7" t="str">
        <f t="shared" si="2"/>
        <v>509.mp3</v>
      </c>
      <c r="G510" s="8" t="s">
        <v>8</v>
      </c>
    </row>
    <row r="511" ht="14.25" customHeight="1">
      <c r="A511" s="1">
        <v>510.0</v>
      </c>
      <c r="B511" s="1">
        <v>170.0</v>
      </c>
      <c r="C511" s="5" t="s">
        <v>514</v>
      </c>
      <c r="D511" s="6">
        <f>IFERROR(__xludf.DUMMYFUNCTION("COUNTA(SPLIT(TRIM(C511),"" ""))"),159.0)</f>
        <v>159</v>
      </c>
      <c r="E511" s="7">
        <f t="shared" si="1"/>
        <v>80</v>
      </c>
      <c r="F511" s="7" t="str">
        <f t="shared" si="2"/>
        <v>510.mp3</v>
      </c>
      <c r="G511" s="8" t="s">
        <v>8</v>
      </c>
    </row>
    <row r="512" ht="14.25" customHeight="1">
      <c r="A512" s="1">
        <v>511.0</v>
      </c>
      <c r="B512" s="1">
        <v>171.0</v>
      </c>
      <c r="C512" s="5" t="s">
        <v>515</v>
      </c>
      <c r="D512" s="6">
        <f>IFERROR(__xludf.DUMMYFUNCTION("COUNTA(SPLIT(TRIM(C512),"" ""))"),27.0)</f>
        <v>27</v>
      </c>
      <c r="E512" s="7">
        <f t="shared" si="1"/>
        <v>14</v>
      </c>
      <c r="F512" s="7" t="str">
        <f t="shared" si="2"/>
        <v>511.mp3</v>
      </c>
      <c r="G512" s="8" t="s">
        <v>8</v>
      </c>
    </row>
    <row r="513" ht="14.25" customHeight="1">
      <c r="A513" s="1">
        <v>512.0</v>
      </c>
      <c r="B513" s="1">
        <v>171.0</v>
      </c>
      <c r="C513" s="5" t="s">
        <v>516</v>
      </c>
      <c r="D513" s="6">
        <f>IFERROR(__xludf.DUMMYFUNCTION("COUNTA(SPLIT(TRIM(C513),"" ""))"),93.0)</f>
        <v>93</v>
      </c>
      <c r="E513" s="7">
        <f t="shared" si="1"/>
        <v>47</v>
      </c>
      <c r="F513" s="7" t="str">
        <f t="shared" si="2"/>
        <v>512.mp3</v>
      </c>
      <c r="G513" s="8" t="s">
        <v>8</v>
      </c>
    </row>
    <row r="514" ht="14.25" customHeight="1">
      <c r="A514" s="1">
        <v>513.0</v>
      </c>
      <c r="B514" s="1">
        <v>171.0</v>
      </c>
      <c r="C514" s="5" t="s">
        <v>517</v>
      </c>
      <c r="D514" s="6">
        <f>IFERROR(__xludf.DUMMYFUNCTION("COUNTA(SPLIT(TRIM(C514),"" ""))"),167.0)</f>
        <v>167</v>
      </c>
      <c r="E514" s="7">
        <f t="shared" si="1"/>
        <v>84</v>
      </c>
      <c r="F514" s="7" t="str">
        <f t="shared" si="2"/>
        <v>513.mp3</v>
      </c>
      <c r="G514" s="8" t="s">
        <v>8</v>
      </c>
    </row>
    <row r="515" ht="14.25" customHeight="1">
      <c r="A515" s="1">
        <v>514.0</v>
      </c>
      <c r="B515" s="1">
        <v>172.0</v>
      </c>
      <c r="C515" s="5" t="s">
        <v>518</v>
      </c>
      <c r="D515" s="6">
        <f>IFERROR(__xludf.DUMMYFUNCTION("COUNTA(SPLIT(TRIM(C515),"" ""))"),26.0)</f>
        <v>26</v>
      </c>
      <c r="E515" s="7">
        <f t="shared" si="1"/>
        <v>13</v>
      </c>
      <c r="F515" s="7" t="str">
        <f t="shared" si="2"/>
        <v>514.mp3</v>
      </c>
      <c r="G515" s="8" t="s">
        <v>8</v>
      </c>
    </row>
    <row r="516" ht="14.25" customHeight="1">
      <c r="A516" s="1">
        <v>515.0</v>
      </c>
      <c r="B516" s="1">
        <v>172.0</v>
      </c>
      <c r="C516" s="5" t="s">
        <v>519</v>
      </c>
      <c r="D516" s="6">
        <f>IFERROR(__xludf.DUMMYFUNCTION("COUNTA(SPLIT(TRIM(C516),"" ""))"),119.0)</f>
        <v>119</v>
      </c>
      <c r="E516" s="7">
        <f t="shared" si="1"/>
        <v>60</v>
      </c>
      <c r="F516" s="7" t="str">
        <f t="shared" si="2"/>
        <v>515.mp3</v>
      </c>
      <c r="G516" s="8" t="s">
        <v>8</v>
      </c>
    </row>
    <row r="517" ht="14.25" customHeight="1">
      <c r="A517" s="1">
        <v>516.0</v>
      </c>
      <c r="B517" s="1">
        <v>172.0</v>
      </c>
      <c r="C517" s="5" t="s">
        <v>520</v>
      </c>
      <c r="D517" s="6">
        <f>IFERROR(__xludf.DUMMYFUNCTION("COUNTA(SPLIT(TRIM(C517),"" ""))"),192.0)</f>
        <v>192</v>
      </c>
      <c r="E517" s="7">
        <f t="shared" si="1"/>
        <v>96</v>
      </c>
      <c r="F517" s="7" t="str">
        <f t="shared" si="2"/>
        <v>516.mp3</v>
      </c>
      <c r="G517" s="8" t="s">
        <v>8</v>
      </c>
    </row>
    <row r="518" ht="14.25" customHeight="1">
      <c r="A518" s="1">
        <v>517.0</v>
      </c>
      <c r="B518" s="1">
        <v>173.0</v>
      </c>
      <c r="C518" s="5" t="s">
        <v>521</v>
      </c>
      <c r="D518" s="6">
        <f>IFERROR(__xludf.DUMMYFUNCTION("COUNTA(SPLIT(TRIM(C518),"" ""))"),26.0)</f>
        <v>26</v>
      </c>
      <c r="E518" s="7">
        <f t="shared" si="1"/>
        <v>13</v>
      </c>
      <c r="F518" s="7" t="str">
        <f t="shared" si="2"/>
        <v>517.mp3</v>
      </c>
      <c r="G518" s="8" t="s">
        <v>8</v>
      </c>
    </row>
    <row r="519" ht="14.25" customHeight="1">
      <c r="A519" s="1">
        <v>518.0</v>
      </c>
      <c r="B519" s="1">
        <v>173.0</v>
      </c>
      <c r="C519" s="5" t="s">
        <v>522</v>
      </c>
      <c r="D519" s="6">
        <f>IFERROR(__xludf.DUMMYFUNCTION("COUNTA(SPLIT(TRIM(C519),"" ""))"),116.0)</f>
        <v>116</v>
      </c>
      <c r="E519" s="7">
        <f t="shared" si="1"/>
        <v>58</v>
      </c>
      <c r="F519" s="7" t="str">
        <f t="shared" si="2"/>
        <v>518.mp3</v>
      </c>
      <c r="G519" s="8" t="s">
        <v>8</v>
      </c>
    </row>
    <row r="520" ht="14.25" customHeight="1">
      <c r="A520" s="1">
        <v>519.0</v>
      </c>
      <c r="B520" s="1">
        <v>173.0</v>
      </c>
      <c r="C520" s="5" t="s">
        <v>523</v>
      </c>
      <c r="D520" s="6">
        <f>IFERROR(__xludf.DUMMYFUNCTION("COUNTA(SPLIT(TRIM(C520),"" ""))"),181.0)</f>
        <v>181</v>
      </c>
      <c r="E520" s="7">
        <f t="shared" si="1"/>
        <v>91</v>
      </c>
      <c r="F520" s="7" t="str">
        <f t="shared" si="2"/>
        <v>519.mp3</v>
      </c>
      <c r="G520" s="8" t="s">
        <v>8</v>
      </c>
    </row>
    <row r="521" ht="14.25" customHeight="1">
      <c r="A521" s="1">
        <v>520.0</v>
      </c>
      <c r="B521" s="1">
        <v>174.0</v>
      </c>
      <c r="C521" s="5" t="s">
        <v>524</v>
      </c>
      <c r="D521" s="6">
        <f>IFERROR(__xludf.DUMMYFUNCTION("COUNTA(SPLIT(TRIM(C521),"" ""))"),27.0)</f>
        <v>27</v>
      </c>
      <c r="E521" s="7">
        <f t="shared" si="1"/>
        <v>14</v>
      </c>
      <c r="F521" s="7" t="str">
        <f t="shared" si="2"/>
        <v>520.mp3</v>
      </c>
      <c r="G521" s="8" t="s">
        <v>8</v>
      </c>
    </row>
    <row r="522" ht="14.25" customHeight="1">
      <c r="A522" s="1">
        <v>521.0</v>
      </c>
      <c r="B522" s="1">
        <v>174.0</v>
      </c>
      <c r="C522" s="5" t="s">
        <v>525</v>
      </c>
      <c r="D522" s="6">
        <f>IFERROR(__xludf.DUMMYFUNCTION("COUNTA(SPLIT(TRIM(C522),"" ""))"),111.0)</f>
        <v>111</v>
      </c>
      <c r="E522" s="7">
        <f t="shared" si="1"/>
        <v>56</v>
      </c>
      <c r="F522" s="7" t="str">
        <f t="shared" si="2"/>
        <v>521.mp3</v>
      </c>
      <c r="G522" s="8" t="s">
        <v>8</v>
      </c>
    </row>
    <row r="523" ht="14.25" customHeight="1">
      <c r="A523" s="1">
        <v>522.0</v>
      </c>
      <c r="B523" s="1">
        <v>174.0</v>
      </c>
      <c r="C523" s="5" t="s">
        <v>526</v>
      </c>
      <c r="D523" s="6">
        <f>IFERROR(__xludf.DUMMYFUNCTION("COUNTA(SPLIT(TRIM(C523),"" ""))"),147.0)</f>
        <v>147</v>
      </c>
      <c r="E523" s="7">
        <f t="shared" si="1"/>
        <v>74</v>
      </c>
      <c r="F523" s="7" t="str">
        <f t="shared" si="2"/>
        <v>522.mp3</v>
      </c>
      <c r="G523" s="8" t="s">
        <v>8</v>
      </c>
    </row>
    <row r="524" ht="14.25" customHeight="1">
      <c r="A524" s="1">
        <v>523.0</v>
      </c>
      <c r="B524" s="1">
        <v>175.0</v>
      </c>
      <c r="C524" s="5" t="s">
        <v>527</v>
      </c>
      <c r="D524" s="6">
        <f>IFERROR(__xludf.DUMMYFUNCTION("COUNTA(SPLIT(TRIM(C524),"" ""))"),26.0)</f>
        <v>26</v>
      </c>
      <c r="E524" s="7">
        <f t="shared" si="1"/>
        <v>13</v>
      </c>
      <c r="F524" s="7" t="str">
        <f t="shared" si="2"/>
        <v>523.mp3</v>
      </c>
      <c r="G524" s="8" t="s">
        <v>8</v>
      </c>
    </row>
    <row r="525" ht="14.25" customHeight="1">
      <c r="A525" s="1">
        <v>524.0</v>
      </c>
      <c r="B525" s="1">
        <v>175.0</v>
      </c>
      <c r="C525" s="5" t="s">
        <v>528</v>
      </c>
      <c r="D525" s="6">
        <f>IFERROR(__xludf.DUMMYFUNCTION("COUNTA(SPLIT(TRIM(C525),"" ""))"),101.0)</f>
        <v>101</v>
      </c>
      <c r="E525" s="7">
        <f t="shared" si="1"/>
        <v>51</v>
      </c>
      <c r="F525" s="7" t="str">
        <f t="shared" si="2"/>
        <v>524.mp3</v>
      </c>
      <c r="G525" s="8" t="s">
        <v>8</v>
      </c>
    </row>
    <row r="526" ht="14.25" customHeight="1">
      <c r="A526" s="1">
        <v>525.0</v>
      </c>
      <c r="B526" s="1">
        <v>175.0</v>
      </c>
      <c r="C526" s="5" t="s">
        <v>529</v>
      </c>
      <c r="D526" s="6">
        <f>IFERROR(__xludf.DUMMYFUNCTION("COUNTA(SPLIT(TRIM(C526),"" ""))"),169.0)</f>
        <v>169</v>
      </c>
      <c r="E526" s="7">
        <f t="shared" si="1"/>
        <v>85</v>
      </c>
      <c r="F526" s="7" t="str">
        <f t="shared" si="2"/>
        <v>525.mp3</v>
      </c>
      <c r="G526" s="8" t="s">
        <v>8</v>
      </c>
    </row>
    <row r="527" ht="14.25" customHeight="1">
      <c r="A527" s="1">
        <v>526.0</v>
      </c>
      <c r="B527" s="1">
        <v>176.0</v>
      </c>
      <c r="C527" s="5" t="s">
        <v>530</v>
      </c>
      <c r="D527" s="6">
        <f>IFERROR(__xludf.DUMMYFUNCTION("COUNTA(SPLIT(TRIM(C527),"" ""))"),26.0)</f>
        <v>26</v>
      </c>
      <c r="E527" s="7">
        <f t="shared" si="1"/>
        <v>13</v>
      </c>
      <c r="F527" s="7" t="str">
        <f t="shared" si="2"/>
        <v>526.mp3</v>
      </c>
      <c r="G527" s="8" t="s">
        <v>8</v>
      </c>
    </row>
    <row r="528" ht="14.25" customHeight="1">
      <c r="A528" s="1">
        <v>527.0</v>
      </c>
      <c r="B528" s="1">
        <v>176.0</v>
      </c>
      <c r="C528" s="5" t="s">
        <v>531</v>
      </c>
      <c r="D528" s="6">
        <f>IFERROR(__xludf.DUMMYFUNCTION("COUNTA(SPLIT(TRIM(C528),"" ""))"),131.0)</f>
        <v>131</v>
      </c>
      <c r="E528" s="7">
        <f t="shared" si="1"/>
        <v>66</v>
      </c>
      <c r="F528" s="7" t="str">
        <f t="shared" si="2"/>
        <v>527.mp3</v>
      </c>
      <c r="G528" s="8" t="s">
        <v>8</v>
      </c>
    </row>
    <row r="529" ht="14.25" customHeight="1">
      <c r="A529" s="1">
        <v>528.0</v>
      </c>
      <c r="B529" s="1">
        <v>176.0</v>
      </c>
      <c r="C529" s="5" t="s">
        <v>532</v>
      </c>
      <c r="D529" s="6">
        <f>IFERROR(__xludf.DUMMYFUNCTION("COUNTA(SPLIT(TRIM(C529),"" ""))"),172.0)</f>
        <v>172</v>
      </c>
      <c r="E529" s="7">
        <f t="shared" si="1"/>
        <v>86</v>
      </c>
      <c r="F529" s="7" t="str">
        <f t="shared" si="2"/>
        <v>528.mp3</v>
      </c>
      <c r="G529" s="8" t="s">
        <v>8</v>
      </c>
    </row>
    <row r="530" ht="14.25" customHeight="1">
      <c r="A530" s="1">
        <v>529.0</v>
      </c>
      <c r="B530" s="1">
        <v>177.0</v>
      </c>
      <c r="C530" s="5" t="s">
        <v>533</v>
      </c>
      <c r="D530" s="6">
        <f>IFERROR(__xludf.DUMMYFUNCTION("COUNTA(SPLIT(TRIM(C530),"" ""))"),26.0)</f>
        <v>26</v>
      </c>
      <c r="E530" s="7">
        <f t="shared" si="1"/>
        <v>13</v>
      </c>
      <c r="F530" s="7" t="str">
        <f t="shared" si="2"/>
        <v>529.mp3</v>
      </c>
      <c r="G530" s="8" t="s">
        <v>8</v>
      </c>
    </row>
    <row r="531" ht="14.25" customHeight="1">
      <c r="A531" s="1">
        <v>530.0</v>
      </c>
      <c r="B531" s="1">
        <v>177.0</v>
      </c>
      <c r="C531" s="5" t="s">
        <v>534</v>
      </c>
      <c r="D531" s="6">
        <f>IFERROR(__xludf.DUMMYFUNCTION("COUNTA(SPLIT(TRIM(C531),"" ""))"),126.0)</f>
        <v>126</v>
      </c>
      <c r="E531" s="7">
        <f t="shared" si="1"/>
        <v>63</v>
      </c>
      <c r="F531" s="7" t="str">
        <f t="shared" si="2"/>
        <v>530.mp3</v>
      </c>
      <c r="G531" s="8" t="s">
        <v>8</v>
      </c>
    </row>
    <row r="532" ht="14.25" customHeight="1">
      <c r="A532" s="1">
        <v>531.0</v>
      </c>
      <c r="B532" s="1">
        <v>177.0</v>
      </c>
      <c r="C532" s="5" t="s">
        <v>535</v>
      </c>
      <c r="D532" s="6">
        <f>IFERROR(__xludf.DUMMYFUNCTION("COUNTA(SPLIT(TRIM(C532),"" ""))"),158.0)</f>
        <v>158</v>
      </c>
      <c r="E532" s="7">
        <f t="shared" si="1"/>
        <v>79</v>
      </c>
      <c r="F532" s="7" t="str">
        <f t="shared" si="2"/>
        <v>531.mp3</v>
      </c>
      <c r="G532" s="8" t="s">
        <v>8</v>
      </c>
    </row>
    <row r="533" ht="14.25" customHeight="1">
      <c r="A533" s="1">
        <v>532.0</v>
      </c>
      <c r="B533" s="1">
        <v>178.0</v>
      </c>
      <c r="C533" s="5" t="s">
        <v>536</v>
      </c>
      <c r="D533" s="6">
        <f>IFERROR(__xludf.DUMMYFUNCTION("COUNTA(SPLIT(TRIM(C533),"" ""))"),28.0)</f>
        <v>28</v>
      </c>
      <c r="E533" s="7">
        <f t="shared" si="1"/>
        <v>14</v>
      </c>
      <c r="F533" s="7" t="str">
        <f t="shared" si="2"/>
        <v>532.mp3</v>
      </c>
      <c r="G533" s="8" t="s">
        <v>8</v>
      </c>
    </row>
    <row r="534" ht="14.25" customHeight="1">
      <c r="A534" s="1">
        <v>533.0</v>
      </c>
      <c r="B534" s="1">
        <v>178.0</v>
      </c>
      <c r="C534" s="5" t="s">
        <v>537</v>
      </c>
      <c r="D534" s="6">
        <f>IFERROR(__xludf.DUMMYFUNCTION("COUNTA(SPLIT(TRIM(C534),"" ""))"),87.0)</f>
        <v>87</v>
      </c>
      <c r="E534" s="7">
        <f t="shared" si="1"/>
        <v>44</v>
      </c>
      <c r="F534" s="7" t="str">
        <f t="shared" si="2"/>
        <v>533.mp3</v>
      </c>
      <c r="G534" s="8" t="s">
        <v>8</v>
      </c>
    </row>
    <row r="535" ht="14.25" customHeight="1">
      <c r="A535" s="1">
        <v>534.0</v>
      </c>
      <c r="B535" s="1">
        <v>178.0</v>
      </c>
      <c r="C535" s="5" t="s">
        <v>538</v>
      </c>
      <c r="D535" s="6">
        <f>IFERROR(__xludf.DUMMYFUNCTION("COUNTA(SPLIT(TRIM(C535),"" ""))"),168.0)</f>
        <v>168</v>
      </c>
      <c r="E535" s="7">
        <f t="shared" si="1"/>
        <v>84</v>
      </c>
      <c r="F535" s="7" t="str">
        <f t="shared" si="2"/>
        <v>534.mp3</v>
      </c>
      <c r="G535" s="8" t="s">
        <v>8</v>
      </c>
    </row>
    <row r="536" ht="14.25" customHeight="1">
      <c r="A536" s="1">
        <v>535.0</v>
      </c>
      <c r="B536" s="1">
        <v>179.0</v>
      </c>
      <c r="C536" s="5" t="s">
        <v>539</v>
      </c>
      <c r="D536" s="6">
        <f>IFERROR(__xludf.DUMMYFUNCTION("COUNTA(SPLIT(TRIM(C536),"" ""))"),25.0)</f>
        <v>25</v>
      </c>
      <c r="E536" s="7">
        <f t="shared" si="1"/>
        <v>13</v>
      </c>
      <c r="F536" s="7" t="str">
        <f t="shared" si="2"/>
        <v>535.mp3</v>
      </c>
      <c r="G536" s="8" t="s">
        <v>8</v>
      </c>
    </row>
    <row r="537" ht="14.25" customHeight="1">
      <c r="A537" s="1">
        <v>536.0</v>
      </c>
      <c r="B537" s="1">
        <v>179.0</v>
      </c>
      <c r="C537" s="5" t="s">
        <v>540</v>
      </c>
      <c r="D537" s="6">
        <f>IFERROR(__xludf.DUMMYFUNCTION("COUNTA(SPLIT(TRIM(C537),"" ""))"),113.0)</f>
        <v>113</v>
      </c>
      <c r="E537" s="7">
        <f t="shared" si="1"/>
        <v>57</v>
      </c>
      <c r="F537" s="7" t="str">
        <f t="shared" si="2"/>
        <v>536.mp3</v>
      </c>
      <c r="G537" s="8" t="s">
        <v>8</v>
      </c>
    </row>
    <row r="538" ht="14.25" customHeight="1">
      <c r="A538" s="1">
        <v>537.0</v>
      </c>
      <c r="B538" s="1">
        <v>179.0</v>
      </c>
      <c r="C538" s="5" t="s">
        <v>541</v>
      </c>
      <c r="D538" s="6">
        <f>IFERROR(__xludf.DUMMYFUNCTION("COUNTA(SPLIT(TRIM(C538),"" ""))"),168.0)</f>
        <v>168</v>
      </c>
      <c r="E538" s="7">
        <f t="shared" si="1"/>
        <v>84</v>
      </c>
      <c r="F538" s="7" t="str">
        <f t="shared" si="2"/>
        <v>537.mp3</v>
      </c>
      <c r="G538" s="8" t="s">
        <v>8</v>
      </c>
    </row>
    <row r="539" ht="14.25" customHeight="1">
      <c r="A539" s="1">
        <v>538.0</v>
      </c>
      <c r="B539" s="1">
        <v>180.0</v>
      </c>
      <c r="C539" s="5" t="s">
        <v>542</v>
      </c>
      <c r="D539" s="6">
        <f>IFERROR(__xludf.DUMMYFUNCTION("COUNTA(SPLIT(TRIM(C539),"" ""))"),27.0)</f>
        <v>27</v>
      </c>
      <c r="E539" s="7">
        <f t="shared" si="1"/>
        <v>14</v>
      </c>
      <c r="F539" s="7" t="str">
        <f t="shared" si="2"/>
        <v>538.mp3</v>
      </c>
      <c r="G539" s="8" t="s">
        <v>8</v>
      </c>
    </row>
    <row r="540" ht="14.25" customHeight="1">
      <c r="A540" s="1">
        <v>539.0</v>
      </c>
      <c r="B540" s="1">
        <v>180.0</v>
      </c>
      <c r="C540" s="5" t="s">
        <v>543</v>
      </c>
      <c r="D540" s="6">
        <f>IFERROR(__xludf.DUMMYFUNCTION("COUNTA(SPLIT(TRIM(C540),"" ""))"),106.0)</f>
        <v>106</v>
      </c>
      <c r="E540" s="7">
        <f t="shared" si="1"/>
        <v>53</v>
      </c>
      <c r="F540" s="7" t="str">
        <f t="shared" si="2"/>
        <v>539.mp3</v>
      </c>
      <c r="G540" s="8" t="s">
        <v>8</v>
      </c>
    </row>
    <row r="541" ht="14.25" customHeight="1">
      <c r="A541" s="1">
        <v>540.0</v>
      </c>
      <c r="B541" s="1">
        <v>180.0</v>
      </c>
      <c r="C541" s="5" t="s">
        <v>544</v>
      </c>
      <c r="D541" s="6">
        <f>IFERROR(__xludf.DUMMYFUNCTION("COUNTA(SPLIT(TRIM(C541),"" ""))"),184.0)</f>
        <v>184</v>
      </c>
      <c r="E541" s="7">
        <f t="shared" si="1"/>
        <v>92</v>
      </c>
      <c r="F541" s="7" t="str">
        <f t="shared" si="2"/>
        <v>540.mp3</v>
      </c>
      <c r="G541" s="8" t="s">
        <v>8</v>
      </c>
    </row>
    <row r="542" ht="14.25" customHeight="1">
      <c r="A542" s="1">
        <v>541.0</v>
      </c>
      <c r="B542" s="1">
        <v>181.0</v>
      </c>
      <c r="C542" s="5" t="s">
        <v>545</v>
      </c>
      <c r="D542" s="6">
        <f>IFERROR(__xludf.DUMMYFUNCTION("COUNTA(SPLIT(TRIM(C542),"" ""))"),29.0)</f>
        <v>29</v>
      </c>
      <c r="E542" s="7">
        <f t="shared" si="1"/>
        <v>15</v>
      </c>
      <c r="F542" s="7" t="str">
        <f t="shared" si="2"/>
        <v>541.mp3</v>
      </c>
      <c r="G542" s="8" t="s">
        <v>8</v>
      </c>
    </row>
    <row r="543" ht="14.25" customHeight="1">
      <c r="A543" s="1">
        <v>542.0</v>
      </c>
      <c r="B543" s="1">
        <v>181.0</v>
      </c>
      <c r="C543" s="5" t="s">
        <v>546</v>
      </c>
      <c r="D543" s="6">
        <f>IFERROR(__xludf.DUMMYFUNCTION("COUNTA(SPLIT(TRIM(C543),"" ""))"),107.0)</f>
        <v>107</v>
      </c>
      <c r="E543" s="7">
        <f t="shared" si="1"/>
        <v>54</v>
      </c>
      <c r="F543" s="7" t="str">
        <f t="shared" si="2"/>
        <v>542.mp3</v>
      </c>
      <c r="G543" s="8" t="s">
        <v>8</v>
      </c>
    </row>
    <row r="544" ht="14.25" customHeight="1">
      <c r="A544" s="1">
        <v>543.0</v>
      </c>
      <c r="B544" s="1">
        <v>181.0</v>
      </c>
      <c r="C544" s="5" t="s">
        <v>547</v>
      </c>
      <c r="D544" s="6">
        <f>IFERROR(__xludf.DUMMYFUNCTION("COUNTA(SPLIT(TRIM(C544),"" ""))"),157.0)</f>
        <v>157</v>
      </c>
      <c r="E544" s="7">
        <f t="shared" si="1"/>
        <v>79</v>
      </c>
      <c r="F544" s="7" t="str">
        <f t="shared" si="2"/>
        <v>543.mp3</v>
      </c>
      <c r="G544" s="8" t="s">
        <v>8</v>
      </c>
    </row>
    <row r="545" ht="14.25" customHeight="1">
      <c r="A545" s="1">
        <v>544.0</v>
      </c>
      <c r="B545" s="1">
        <v>182.0</v>
      </c>
      <c r="C545" s="5" t="s">
        <v>548</v>
      </c>
      <c r="D545" s="6">
        <f>IFERROR(__xludf.DUMMYFUNCTION("COUNTA(SPLIT(TRIM(C545),"" ""))"),26.0)</f>
        <v>26</v>
      </c>
      <c r="E545" s="7">
        <f t="shared" si="1"/>
        <v>13</v>
      </c>
      <c r="F545" s="7" t="str">
        <f t="shared" si="2"/>
        <v>544.mp3</v>
      </c>
      <c r="G545" s="8" t="s">
        <v>8</v>
      </c>
    </row>
    <row r="546" ht="14.25" customHeight="1">
      <c r="A546" s="1">
        <v>545.0</v>
      </c>
      <c r="B546" s="1">
        <v>182.0</v>
      </c>
      <c r="C546" s="5" t="s">
        <v>549</v>
      </c>
      <c r="D546" s="6">
        <f>IFERROR(__xludf.DUMMYFUNCTION("COUNTA(SPLIT(TRIM(C546),"" ""))"),114.0)</f>
        <v>114</v>
      </c>
      <c r="E546" s="7">
        <f t="shared" si="1"/>
        <v>57</v>
      </c>
      <c r="F546" s="7" t="str">
        <f t="shared" si="2"/>
        <v>545.mp3</v>
      </c>
      <c r="G546" s="8" t="s">
        <v>8</v>
      </c>
    </row>
    <row r="547" ht="14.25" customHeight="1">
      <c r="A547" s="1">
        <v>546.0</v>
      </c>
      <c r="B547" s="1">
        <v>182.0</v>
      </c>
      <c r="C547" s="5" t="s">
        <v>550</v>
      </c>
      <c r="D547" s="6">
        <f>IFERROR(__xludf.DUMMYFUNCTION("COUNTA(SPLIT(TRIM(C547),"" ""))"),161.0)</f>
        <v>161</v>
      </c>
      <c r="E547" s="7">
        <f t="shared" si="1"/>
        <v>81</v>
      </c>
      <c r="F547" s="7" t="str">
        <f t="shared" si="2"/>
        <v>546.mp3</v>
      </c>
      <c r="G547" s="8" t="s">
        <v>8</v>
      </c>
    </row>
    <row r="548" ht="14.25" customHeight="1">
      <c r="A548" s="1">
        <v>547.0</v>
      </c>
      <c r="B548" s="1">
        <v>183.0</v>
      </c>
      <c r="C548" s="5" t="s">
        <v>551</v>
      </c>
      <c r="D548" s="6">
        <f>IFERROR(__xludf.DUMMYFUNCTION("COUNTA(SPLIT(TRIM(C548),"" ""))"),26.0)</f>
        <v>26</v>
      </c>
      <c r="E548" s="7">
        <f t="shared" si="1"/>
        <v>13</v>
      </c>
      <c r="F548" s="7" t="str">
        <f t="shared" si="2"/>
        <v>547.mp3</v>
      </c>
      <c r="G548" s="8" t="s">
        <v>8</v>
      </c>
    </row>
    <row r="549" ht="14.25" customHeight="1">
      <c r="A549" s="1">
        <v>548.0</v>
      </c>
      <c r="B549" s="1">
        <v>183.0</v>
      </c>
      <c r="C549" s="5" t="s">
        <v>552</v>
      </c>
      <c r="D549" s="6">
        <f>IFERROR(__xludf.DUMMYFUNCTION("COUNTA(SPLIT(TRIM(C549),"" ""))"),114.0)</f>
        <v>114</v>
      </c>
      <c r="E549" s="7">
        <f t="shared" si="1"/>
        <v>57</v>
      </c>
      <c r="F549" s="7" t="str">
        <f t="shared" si="2"/>
        <v>548.mp3</v>
      </c>
      <c r="G549" s="8" t="s">
        <v>8</v>
      </c>
    </row>
    <row r="550" ht="14.25" customHeight="1">
      <c r="A550" s="1">
        <v>549.0</v>
      </c>
      <c r="B550" s="1">
        <v>183.0</v>
      </c>
      <c r="C550" s="5" t="s">
        <v>553</v>
      </c>
      <c r="D550" s="6">
        <f>IFERROR(__xludf.DUMMYFUNCTION("COUNTA(SPLIT(TRIM(C550),"" ""))"),168.0)</f>
        <v>168</v>
      </c>
      <c r="E550" s="7">
        <f t="shared" si="1"/>
        <v>84</v>
      </c>
      <c r="F550" s="7" t="str">
        <f t="shared" si="2"/>
        <v>549.mp3</v>
      </c>
      <c r="G550" s="8" t="s">
        <v>8</v>
      </c>
    </row>
    <row r="551" ht="14.25" customHeight="1">
      <c r="A551" s="1">
        <v>550.0</v>
      </c>
      <c r="B551" s="1">
        <v>184.0</v>
      </c>
      <c r="C551" s="5" t="s">
        <v>554</v>
      </c>
      <c r="D551" s="6">
        <f>IFERROR(__xludf.DUMMYFUNCTION("COUNTA(SPLIT(TRIM(C551),"" ""))"),29.0)</f>
        <v>29</v>
      </c>
      <c r="E551" s="7">
        <f t="shared" si="1"/>
        <v>15</v>
      </c>
      <c r="F551" s="7" t="str">
        <f t="shared" si="2"/>
        <v>550.mp3</v>
      </c>
      <c r="G551" s="8" t="s">
        <v>8</v>
      </c>
    </row>
    <row r="552" ht="14.25" customHeight="1">
      <c r="A552" s="1">
        <v>551.0</v>
      </c>
      <c r="B552" s="1">
        <v>184.0</v>
      </c>
      <c r="C552" s="5" t="s">
        <v>555</v>
      </c>
      <c r="D552" s="6">
        <f>IFERROR(__xludf.DUMMYFUNCTION("COUNTA(SPLIT(TRIM(C552),"" ""))"),104.0)</f>
        <v>104</v>
      </c>
      <c r="E552" s="7">
        <f t="shared" si="1"/>
        <v>52</v>
      </c>
      <c r="F552" s="7" t="str">
        <f t="shared" si="2"/>
        <v>551.mp3</v>
      </c>
      <c r="G552" s="8" t="s">
        <v>8</v>
      </c>
    </row>
    <row r="553" ht="14.25" customHeight="1">
      <c r="A553" s="1">
        <v>552.0</v>
      </c>
      <c r="B553" s="1">
        <v>184.0</v>
      </c>
      <c r="C553" s="5" t="s">
        <v>556</v>
      </c>
      <c r="D553" s="6">
        <f>IFERROR(__xludf.DUMMYFUNCTION("COUNTA(SPLIT(TRIM(C553),"" ""))"),185.0)</f>
        <v>185</v>
      </c>
      <c r="E553" s="7">
        <f t="shared" si="1"/>
        <v>93</v>
      </c>
      <c r="F553" s="7" t="str">
        <f t="shared" si="2"/>
        <v>552.mp3</v>
      </c>
      <c r="G553" s="8" t="s">
        <v>8</v>
      </c>
    </row>
    <row r="554" ht="14.25" customHeight="1">
      <c r="A554" s="1">
        <v>553.0</v>
      </c>
      <c r="B554" s="1">
        <v>185.0</v>
      </c>
      <c r="C554" s="5" t="s">
        <v>557</v>
      </c>
      <c r="D554" s="6">
        <f>IFERROR(__xludf.DUMMYFUNCTION("COUNTA(SPLIT(TRIM(C554),"" ""))"),26.0)</f>
        <v>26</v>
      </c>
      <c r="E554" s="7">
        <f t="shared" si="1"/>
        <v>13</v>
      </c>
      <c r="F554" s="7" t="str">
        <f t="shared" si="2"/>
        <v>553.mp3</v>
      </c>
      <c r="G554" s="8" t="s">
        <v>8</v>
      </c>
    </row>
    <row r="555" ht="14.25" customHeight="1">
      <c r="A555" s="1">
        <v>554.0</v>
      </c>
      <c r="B555" s="1">
        <v>185.0</v>
      </c>
      <c r="C555" s="5" t="s">
        <v>558</v>
      </c>
      <c r="D555" s="6">
        <f>IFERROR(__xludf.DUMMYFUNCTION("COUNTA(SPLIT(TRIM(C555),"" ""))"),80.0)</f>
        <v>80</v>
      </c>
      <c r="E555" s="7">
        <f t="shared" si="1"/>
        <v>40</v>
      </c>
      <c r="F555" s="7" t="str">
        <f t="shared" si="2"/>
        <v>554.mp3</v>
      </c>
      <c r="G555" s="8" t="s">
        <v>8</v>
      </c>
    </row>
    <row r="556" ht="14.25" customHeight="1">
      <c r="A556" s="1">
        <v>555.0</v>
      </c>
      <c r="B556" s="1">
        <v>185.0</v>
      </c>
      <c r="C556" s="5" t="s">
        <v>559</v>
      </c>
      <c r="D556" s="6">
        <f>IFERROR(__xludf.DUMMYFUNCTION("COUNTA(SPLIT(TRIM(C556),"" ""))"),153.0)</f>
        <v>153</v>
      </c>
      <c r="E556" s="7">
        <f t="shared" si="1"/>
        <v>77</v>
      </c>
      <c r="F556" s="7" t="str">
        <f t="shared" si="2"/>
        <v>555.mp3</v>
      </c>
      <c r="G556" s="8" t="s">
        <v>8</v>
      </c>
    </row>
    <row r="557" ht="14.25" customHeight="1">
      <c r="A557" s="1">
        <v>556.0</v>
      </c>
      <c r="B557" s="1">
        <v>186.0</v>
      </c>
      <c r="C557" s="5" t="s">
        <v>560</v>
      </c>
      <c r="D557" s="6">
        <f>IFERROR(__xludf.DUMMYFUNCTION("COUNTA(SPLIT(TRIM(C557),"" ""))"),27.0)</f>
        <v>27</v>
      </c>
      <c r="E557" s="7">
        <f t="shared" si="1"/>
        <v>14</v>
      </c>
      <c r="F557" s="7" t="str">
        <f t="shared" si="2"/>
        <v>556.mp3</v>
      </c>
      <c r="G557" s="8" t="s">
        <v>8</v>
      </c>
    </row>
    <row r="558" ht="14.25" customHeight="1">
      <c r="A558" s="1">
        <v>557.0</v>
      </c>
      <c r="B558" s="1">
        <v>186.0</v>
      </c>
      <c r="C558" s="5" t="s">
        <v>561</v>
      </c>
      <c r="D558" s="6">
        <f>IFERROR(__xludf.DUMMYFUNCTION("COUNTA(SPLIT(TRIM(C558),"" ""))"),103.0)</f>
        <v>103</v>
      </c>
      <c r="E558" s="7">
        <f t="shared" si="1"/>
        <v>52</v>
      </c>
      <c r="F558" s="7" t="str">
        <f t="shared" si="2"/>
        <v>557.mp3</v>
      </c>
      <c r="G558" s="8" t="s">
        <v>8</v>
      </c>
    </row>
    <row r="559" ht="14.25" customHeight="1">
      <c r="A559" s="1">
        <v>558.0</v>
      </c>
      <c r="B559" s="1">
        <v>186.0</v>
      </c>
      <c r="C559" s="5" t="s">
        <v>562</v>
      </c>
      <c r="D559" s="6">
        <f>IFERROR(__xludf.DUMMYFUNCTION("COUNTA(SPLIT(TRIM(C559),"" ""))"),181.0)</f>
        <v>181</v>
      </c>
      <c r="E559" s="7">
        <f t="shared" si="1"/>
        <v>91</v>
      </c>
      <c r="F559" s="7" t="str">
        <f t="shared" si="2"/>
        <v>558.mp3</v>
      </c>
      <c r="G559" s="8" t="s">
        <v>8</v>
      </c>
    </row>
    <row r="560" ht="14.25" customHeight="1">
      <c r="A560" s="1">
        <v>559.0</v>
      </c>
      <c r="B560" s="1">
        <v>187.0</v>
      </c>
      <c r="C560" s="5" t="s">
        <v>563</v>
      </c>
      <c r="D560" s="6">
        <f>IFERROR(__xludf.DUMMYFUNCTION("COUNTA(SPLIT(TRIM(C560),"" ""))"),22.0)</f>
        <v>22</v>
      </c>
      <c r="E560" s="7">
        <f t="shared" si="1"/>
        <v>11</v>
      </c>
      <c r="F560" s="7" t="str">
        <f t="shared" si="2"/>
        <v>559.mp3</v>
      </c>
      <c r="G560" s="8" t="s">
        <v>8</v>
      </c>
    </row>
    <row r="561" ht="14.25" customHeight="1">
      <c r="A561" s="1">
        <v>560.0</v>
      </c>
      <c r="B561" s="1">
        <v>187.0</v>
      </c>
      <c r="C561" s="5" t="s">
        <v>564</v>
      </c>
      <c r="D561" s="6">
        <f>IFERROR(__xludf.DUMMYFUNCTION("COUNTA(SPLIT(TRIM(C561),"" ""))"),107.0)</f>
        <v>107</v>
      </c>
      <c r="E561" s="7">
        <f t="shared" si="1"/>
        <v>54</v>
      </c>
      <c r="F561" s="7" t="str">
        <f t="shared" si="2"/>
        <v>560.mp3</v>
      </c>
      <c r="G561" s="8" t="s">
        <v>8</v>
      </c>
    </row>
    <row r="562" ht="14.25" customHeight="1">
      <c r="A562" s="1">
        <v>561.0</v>
      </c>
      <c r="B562" s="1">
        <v>187.0</v>
      </c>
      <c r="C562" s="5" t="s">
        <v>565</v>
      </c>
      <c r="D562" s="6">
        <f>IFERROR(__xludf.DUMMYFUNCTION("COUNTA(SPLIT(TRIM(C562),"" ""))"),177.0)</f>
        <v>177</v>
      </c>
      <c r="E562" s="7">
        <f t="shared" si="1"/>
        <v>89</v>
      </c>
      <c r="F562" s="7" t="str">
        <f t="shared" si="2"/>
        <v>561.mp3</v>
      </c>
      <c r="G562" s="8" t="s">
        <v>8</v>
      </c>
    </row>
    <row r="563" ht="14.25" customHeight="1">
      <c r="A563" s="1">
        <v>562.0</v>
      </c>
      <c r="B563" s="1">
        <v>188.0</v>
      </c>
      <c r="C563" s="5" t="s">
        <v>566</v>
      </c>
      <c r="D563" s="6">
        <f>IFERROR(__xludf.DUMMYFUNCTION("COUNTA(SPLIT(TRIM(C563),"" ""))"),23.0)</f>
        <v>23</v>
      </c>
      <c r="E563" s="7">
        <f t="shared" si="1"/>
        <v>12</v>
      </c>
      <c r="F563" s="7" t="str">
        <f t="shared" si="2"/>
        <v>562.mp3</v>
      </c>
      <c r="G563" s="8" t="s">
        <v>8</v>
      </c>
    </row>
    <row r="564" ht="14.25" customHeight="1">
      <c r="A564" s="1">
        <v>563.0</v>
      </c>
      <c r="B564" s="1">
        <v>188.0</v>
      </c>
      <c r="C564" s="5" t="s">
        <v>567</v>
      </c>
      <c r="D564" s="6">
        <f>IFERROR(__xludf.DUMMYFUNCTION("COUNTA(SPLIT(TRIM(C564),"" ""))"),94.0)</f>
        <v>94</v>
      </c>
      <c r="E564" s="7">
        <f t="shared" si="1"/>
        <v>47</v>
      </c>
      <c r="F564" s="7" t="str">
        <f t="shared" si="2"/>
        <v>563.mp3</v>
      </c>
      <c r="G564" s="8" t="s">
        <v>8</v>
      </c>
    </row>
    <row r="565" ht="14.25" customHeight="1">
      <c r="A565" s="1">
        <v>564.0</v>
      </c>
      <c r="B565" s="1">
        <v>188.0</v>
      </c>
      <c r="C565" s="5" t="s">
        <v>568</v>
      </c>
      <c r="D565" s="6">
        <f>IFERROR(__xludf.DUMMYFUNCTION("COUNTA(SPLIT(TRIM(C565),"" ""))"),167.0)</f>
        <v>167</v>
      </c>
      <c r="E565" s="7">
        <f t="shared" si="1"/>
        <v>84</v>
      </c>
      <c r="F565" s="7" t="str">
        <f t="shared" si="2"/>
        <v>564.mp3</v>
      </c>
      <c r="G565" s="8" t="s">
        <v>8</v>
      </c>
    </row>
    <row r="566" ht="14.25" customHeight="1">
      <c r="A566" s="1">
        <v>565.0</v>
      </c>
      <c r="B566" s="1">
        <v>189.0</v>
      </c>
      <c r="C566" s="5" t="s">
        <v>569</v>
      </c>
      <c r="D566" s="6">
        <f>IFERROR(__xludf.DUMMYFUNCTION("COUNTA(SPLIT(TRIM(C566),"" ""))"),27.0)</f>
        <v>27</v>
      </c>
      <c r="E566" s="7">
        <f t="shared" si="1"/>
        <v>14</v>
      </c>
      <c r="F566" s="7" t="str">
        <f t="shared" si="2"/>
        <v>565.mp3</v>
      </c>
      <c r="G566" s="8" t="s">
        <v>8</v>
      </c>
    </row>
    <row r="567" ht="14.25" customHeight="1">
      <c r="A567" s="1">
        <v>566.0</v>
      </c>
      <c r="B567" s="1">
        <v>189.0</v>
      </c>
      <c r="C567" s="5" t="s">
        <v>570</v>
      </c>
      <c r="D567" s="6">
        <f>IFERROR(__xludf.DUMMYFUNCTION("COUNTA(SPLIT(TRIM(C567),"" ""))"),111.0)</f>
        <v>111</v>
      </c>
      <c r="E567" s="7">
        <f t="shared" si="1"/>
        <v>56</v>
      </c>
      <c r="F567" s="7" t="str">
        <f t="shared" si="2"/>
        <v>566.mp3</v>
      </c>
      <c r="G567" s="8" t="s">
        <v>8</v>
      </c>
    </row>
    <row r="568" ht="14.25" customHeight="1">
      <c r="A568" s="1">
        <v>567.0</v>
      </c>
      <c r="B568" s="1">
        <v>189.0</v>
      </c>
      <c r="C568" s="5" t="s">
        <v>571</v>
      </c>
      <c r="D568" s="6">
        <f>IFERROR(__xludf.DUMMYFUNCTION("COUNTA(SPLIT(TRIM(C568),"" ""))"),204.0)</f>
        <v>204</v>
      </c>
      <c r="E568" s="7">
        <f t="shared" si="1"/>
        <v>102</v>
      </c>
      <c r="F568" s="7" t="str">
        <f t="shared" si="2"/>
        <v>567.mp3</v>
      </c>
      <c r="G568" s="8" t="s">
        <v>8</v>
      </c>
    </row>
    <row r="569" ht="14.25" customHeight="1">
      <c r="A569" s="1">
        <v>568.0</v>
      </c>
      <c r="B569" s="1">
        <v>190.0</v>
      </c>
      <c r="C569" s="5" t="s">
        <v>572</v>
      </c>
      <c r="D569" s="6">
        <f>IFERROR(__xludf.DUMMYFUNCTION("COUNTA(SPLIT(TRIM(C569),"" ""))"),30.0)</f>
        <v>30</v>
      </c>
      <c r="E569" s="7">
        <f t="shared" si="1"/>
        <v>15</v>
      </c>
      <c r="F569" s="7" t="str">
        <f t="shared" si="2"/>
        <v>568.mp3</v>
      </c>
      <c r="G569" s="8" t="s">
        <v>8</v>
      </c>
    </row>
    <row r="570" ht="14.25" customHeight="1">
      <c r="A570" s="1">
        <v>569.0</v>
      </c>
      <c r="B570" s="1">
        <v>190.0</v>
      </c>
      <c r="C570" s="5" t="s">
        <v>573</v>
      </c>
      <c r="D570" s="6">
        <f>IFERROR(__xludf.DUMMYFUNCTION("COUNTA(SPLIT(TRIM(C570),"" ""))"),104.0)</f>
        <v>104</v>
      </c>
      <c r="E570" s="7">
        <f t="shared" si="1"/>
        <v>52</v>
      </c>
      <c r="F570" s="7" t="str">
        <f t="shared" si="2"/>
        <v>569.mp3</v>
      </c>
      <c r="G570" s="8" t="s">
        <v>8</v>
      </c>
    </row>
    <row r="571" ht="14.25" customHeight="1">
      <c r="A571" s="1">
        <v>570.0</v>
      </c>
      <c r="B571" s="1">
        <v>190.0</v>
      </c>
      <c r="C571" s="5" t="s">
        <v>574</v>
      </c>
      <c r="D571" s="6">
        <f>IFERROR(__xludf.DUMMYFUNCTION("COUNTA(SPLIT(TRIM(C571),"" ""))"),159.0)</f>
        <v>159</v>
      </c>
      <c r="E571" s="7">
        <f t="shared" si="1"/>
        <v>80</v>
      </c>
      <c r="F571" s="7" t="str">
        <f t="shared" si="2"/>
        <v>570.mp3</v>
      </c>
      <c r="G571" s="8" t="s">
        <v>8</v>
      </c>
    </row>
    <row r="572" ht="14.25" customHeight="1">
      <c r="A572" s="1">
        <v>571.0</v>
      </c>
      <c r="B572" s="1">
        <v>191.0</v>
      </c>
      <c r="C572" s="5" t="s">
        <v>575</v>
      </c>
      <c r="D572" s="6">
        <f>IFERROR(__xludf.DUMMYFUNCTION("COUNTA(SPLIT(TRIM(C572),"" ""))"),26.0)</f>
        <v>26</v>
      </c>
      <c r="E572" s="7">
        <f t="shared" si="1"/>
        <v>13</v>
      </c>
      <c r="F572" s="7" t="str">
        <f t="shared" si="2"/>
        <v>571.mp3</v>
      </c>
      <c r="G572" s="8" t="s">
        <v>8</v>
      </c>
    </row>
    <row r="573" ht="14.25" customHeight="1">
      <c r="A573" s="1">
        <v>572.0</v>
      </c>
      <c r="B573" s="1">
        <v>191.0</v>
      </c>
      <c r="C573" s="5" t="s">
        <v>576</v>
      </c>
      <c r="D573" s="6">
        <f>IFERROR(__xludf.DUMMYFUNCTION("COUNTA(SPLIT(TRIM(C573),"" ""))"),101.0)</f>
        <v>101</v>
      </c>
      <c r="E573" s="7">
        <f t="shared" si="1"/>
        <v>51</v>
      </c>
      <c r="F573" s="7" t="str">
        <f t="shared" si="2"/>
        <v>572.mp3</v>
      </c>
      <c r="G573" s="8" t="s">
        <v>8</v>
      </c>
    </row>
    <row r="574" ht="14.25" customHeight="1">
      <c r="A574" s="1">
        <v>573.0</v>
      </c>
      <c r="B574" s="1">
        <v>191.0</v>
      </c>
      <c r="C574" s="5" t="s">
        <v>577</v>
      </c>
      <c r="D574" s="6">
        <f>IFERROR(__xludf.DUMMYFUNCTION("COUNTA(SPLIT(TRIM(C574),"" ""))"),159.0)</f>
        <v>159</v>
      </c>
      <c r="E574" s="7">
        <f t="shared" si="1"/>
        <v>80</v>
      </c>
      <c r="F574" s="7" t="str">
        <f t="shared" si="2"/>
        <v>573.mp3</v>
      </c>
      <c r="G574" s="8" t="s">
        <v>8</v>
      </c>
    </row>
    <row r="575" ht="14.25" customHeight="1">
      <c r="A575" s="1">
        <v>574.0</v>
      </c>
      <c r="B575" s="1">
        <v>192.0</v>
      </c>
      <c r="C575" s="5" t="s">
        <v>578</v>
      </c>
      <c r="D575" s="6">
        <f>IFERROR(__xludf.DUMMYFUNCTION("COUNTA(SPLIT(TRIM(C575),"" ""))"),29.0)</f>
        <v>29</v>
      </c>
      <c r="E575" s="7">
        <f t="shared" si="1"/>
        <v>15</v>
      </c>
      <c r="F575" s="7" t="str">
        <f t="shared" si="2"/>
        <v>574.mp3</v>
      </c>
      <c r="G575" s="8" t="s">
        <v>8</v>
      </c>
    </row>
    <row r="576" ht="14.25" customHeight="1">
      <c r="A576" s="1">
        <v>575.0</v>
      </c>
      <c r="B576" s="1">
        <v>192.0</v>
      </c>
      <c r="C576" s="5" t="s">
        <v>579</v>
      </c>
      <c r="D576" s="6">
        <f>IFERROR(__xludf.DUMMYFUNCTION("COUNTA(SPLIT(TRIM(C576),"" ""))"),103.0)</f>
        <v>103</v>
      </c>
      <c r="E576" s="7">
        <f t="shared" si="1"/>
        <v>52</v>
      </c>
      <c r="F576" s="7" t="str">
        <f t="shared" si="2"/>
        <v>575.mp3</v>
      </c>
      <c r="G576" s="8" t="s">
        <v>8</v>
      </c>
    </row>
    <row r="577" ht="14.25" customHeight="1">
      <c r="A577" s="1">
        <v>576.0</v>
      </c>
      <c r="B577" s="1">
        <v>192.0</v>
      </c>
      <c r="C577" s="5" t="s">
        <v>580</v>
      </c>
      <c r="D577" s="6">
        <f>IFERROR(__xludf.DUMMYFUNCTION("COUNTA(SPLIT(TRIM(C577),"" ""))"),140.0)</f>
        <v>140</v>
      </c>
      <c r="E577" s="7">
        <f t="shared" si="1"/>
        <v>70</v>
      </c>
      <c r="F577" s="7" t="str">
        <f t="shared" si="2"/>
        <v>576.mp3</v>
      </c>
      <c r="G577" s="8" t="s">
        <v>8</v>
      </c>
    </row>
    <row r="578" ht="14.25" customHeight="1">
      <c r="A578" s="1">
        <v>577.0</v>
      </c>
      <c r="B578" s="1">
        <v>193.0</v>
      </c>
      <c r="C578" s="5" t="s">
        <v>581</v>
      </c>
      <c r="D578" s="6">
        <f>IFERROR(__xludf.DUMMYFUNCTION("COUNTA(SPLIT(TRIM(C578),"" ""))"),27.0)</f>
        <v>27</v>
      </c>
      <c r="E578" s="7">
        <f t="shared" si="1"/>
        <v>14</v>
      </c>
      <c r="F578" s="7" t="str">
        <f t="shared" si="2"/>
        <v>577.mp3</v>
      </c>
      <c r="G578" s="8" t="s">
        <v>8</v>
      </c>
    </row>
    <row r="579" ht="14.25" customHeight="1">
      <c r="A579" s="1">
        <v>578.0</v>
      </c>
      <c r="B579" s="1">
        <v>193.0</v>
      </c>
      <c r="C579" s="5" t="s">
        <v>582</v>
      </c>
      <c r="D579" s="6">
        <f>IFERROR(__xludf.DUMMYFUNCTION("COUNTA(SPLIT(TRIM(C579),"" ""))"),95.0)</f>
        <v>95</v>
      </c>
      <c r="E579" s="7">
        <f t="shared" si="1"/>
        <v>48</v>
      </c>
      <c r="F579" s="7" t="str">
        <f t="shared" si="2"/>
        <v>578.mp3</v>
      </c>
      <c r="G579" s="8" t="s">
        <v>8</v>
      </c>
    </row>
    <row r="580" ht="14.25" customHeight="1">
      <c r="A580" s="1">
        <v>579.0</v>
      </c>
      <c r="B580" s="1">
        <v>193.0</v>
      </c>
      <c r="C580" s="5" t="s">
        <v>583</v>
      </c>
      <c r="D580" s="6">
        <f>IFERROR(__xludf.DUMMYFUNCTION("COUNTA(SPLIT(TRIM(C580),"" ""))"),167.0)</f>
        <v>167</v>
      </c>
      <c r="E580" s="7">
        <f t="shared" si="1"/>
        <v>84</v>
      </c>
      <c r="F580" s="7" t="str">
        <f t="shared" si="2"/>
        <v>579.mp3</v>
      </c>
      <c r="G580" s="8" t="s">
        <v>8</v>
      </c>
    </row>
    <row r="581" ht="14.25" customHeight="1">
      <c r="A581" s="1">
        <v>580.0</v>
      </c>
      <c r="B581" s="1">
        <v>194.0</v>
      </c>
      <c r="C581" s="5" t="s">
        <v>584</v>
      </c>
      <c r="D581" s="6">
        <f>IFERROR(__xludf.DUMMYFUNCTION("COUNTA(SPLIT(TRIM(C581),"" ""))"),24.0)</f>
        <v>24</v>
      </c>
      <c r="E581" s="7">
        <f t="shared" si="1"/>
        <v>12</v>
      </c>
      <c r="F581" s="7" t="str">
        <f t="shared" si="2"/>
        <v>580.mp3</v>
      </c>
      <c r="G581" s="8" t="s">
        <v>8</v>
      </c>
    </row>
    <row r="582" ht="14.25" customHeight="1">
      <c r="A582" s="1">
        <v>581.0</v>
      </c>
      <c r="B582" s="1">
        <v>194.0</v>
      </c>
      <c r="C582" s="5" t="s">
        <v>585</v>
      </c>
      <c r="D582" s="6">
        <f>IFERROR(__xludf.DUMMYFUNCTION("COUNTA(SPLIT(TRIM(C582),"" ""))"),79.0)</f>
        <v>79</v>
      </c>
      <c r="E582" s="7">
        <f t="shared" si="1"/>
        <v>40</v>
      </c>
      <c r="F582" s="7" t="str">
        <f t="shared" si="2"/>
        <v>581.mp3</v>
      </c>
      <c r="G582" s="8" t="s">
        <v>8</v>
      </c>
    </row>
    <row r="583" ht="14.25" customHeight="1">
      <c r="A583" s="1">
        <v>582.0</v>
      </c>
      <c r="B583" s="1">
        <v>194.0</v>
      </c>
      <c r="C583" s="5" t="s">
        <v>586</v>
      </c>
      <c r="D583" s="6">
        <f>IFERROR(__xludf.DUMMYFUNCTION("COUNTA(SPLIT(TRIM(C583),"" ""))"),188.0)</f>
        <v>188</v>
      </c>
      <c r="E583" s="7">
        <f t="shared" si="1"/>
        <v>94</v>
      </c>
      <c r="F583" s="7" t="str">
        <f t="shared" si="2"/>
        <v>582.mp3</v>
      </c>
      <c r="G583" s="8" t="s">
        <v>8</v>
      </c>
    </row>
    <row r="584" ht="14.25" customHeight="1">
      <c r="A584" s="1">
        <v>583.0</v>
      </c>
      <c r="B584" s="1">
        <v>195.0</v>
      </c>
      <c r="C584" s="5" t="s">
        <v>587</v>
      </c>
      <c r="D584" s="6">
        <f>IFERROR(__xludf.DUMMYFUNCTION("COUNTA(SPLIT(TRIM(C584),"" ""))"),27.0)</f>
        <v>27</v>
      </c>
      <c r="E584" s="7">
        <f t="shared" si="1"/>
        <v>14</v>
      </c>
      <c r="F584" s="7" t="str">
        <f t="shared" si="2"/>
        <v>583.mp3</v>
      </c>
      <c r="G584" s="8" t="s">
        <v>8</v>
      </c>
    </row>
    <row r="585" ht="14.25" customHeight="1">
      <c r="A585" s="1">
        <v>584.0</v>
      </c>
      <c r="B585" s="1">
        <v>195.0</v>
      </c>
      <c r="C585" s="5" t="s">
        <v>588</v>
      </c>
      <c r="D585" s="6">
        <f>IFERROR(__xludf.DUMMYFUNCTION("COUNTA(SPLIT(TRIM(C585),"" ""))"),91.0)</f>
        <v>91</v>
      </c>
      <c r="E585" s="7">
        <f t="shared" si="1"/>
        <v>46</v>
      </c>
      <c r="F585" s="7" t="str">
        <f t="shared" si="2"/>
        <v>584.mp3</v>
      </c>
      <c r="G585" s="8" t="s">
        <v>8</v>
      </c>
    </row>
    <row r="586" ht="14.25" customHeight="1">
      <c r="A586" s="1">
        <v>585.0</v>
      </c>
      <c r="B586" s="1">
        <v>195.0</v>
      </c>
      <c r="C586" s="5" t="s">
        <v>589</v>
      </c>
      <c r="D586" s="6">
        <f>IFERROR(__xludf.DUMMYFUNCTION("COUNTA(SPLIT(TRIM(C586),"" ""))"),159.0)</f>
        <v>159</v>
      </c>
      <c r="E586" s="7">
        <f t="shared" si="1"/>
        <v>80</v>
      </c>
      <c r="F586" s="7" t="str">
        <f t="shared" si="2"/>
        <v>585.mp3</v>
      </c>
      <c r="G586" s="8" t="s">
        <v>8</v>
      </c>
    </row>
    <row r="587" ht="14.25" customHeight="1">
      <c r="A587" s="1">
        <v>586.0</v>
      </c>
      <c r="B587" s="1">
        <v>196.0</v>
      </c>
      <c r="C587" s="5" t="s">
        <v>590</v>
      </c>
      <c r="D587" s="6">
        <f>IFERROR(__xludf.DUMMYFUNCTION("COUNTA(SPLIT(TRIM(C587),"" ""))"),26.0)</f>
        <v>26</v>
      </c>
      <c r="E587" s="7">
        <f t="shared" si="1"/>
        <v>13</v>
      </c>
      <c r="F587" s="7" t="str">
        <f t="shared" si="2"/>
        <v>586.mp3</v>
      </c>
      <c r="G587" s="8" t="s">
        <v>8</v>
      </c>
    </row>
    <row r="588" ht="14.25" customHeight="1">
      <c r="A588" s="1">
        <v>587.0</v>
      </c>
      <c r="B588" s="1">
        <v>196.0</v>
      </c>
      <c r="C588" s="5" t="s">
        <v>591</v>
      </c>
      <c r="D588" s="6">
        <f>IFERROR(__xludf.DUMMYFUNCTION("COUNTA(SPLIT(TRIM(C588),"" ""))"),92.0)</f>
        <v>92</v>
      </c>
      <c r="E588" s="7">
        <f t="shared" si="1"/>
        <v>46</v>
      </c>
      <c r="F588" s="7" t="str">
        <f t="shared" si="2"/>
        <v>587.mp3</v>
      </c>
      <c r="G588" s="8" t="s">
        <v>8</v>
      </c>
    </row>
    <row r="589" ht="14.25" customHeight="1">
      <c r="A589" s="1">
        <v>588.0</v>
      </c>
      <c r="B589" s="1">
        <v>196.0</v>
      </c>
      <c r="C589" s="5" t="s">
        <v>592</v>
      </c>
      <c r="D589" s="6">
        <f>IFERROR(__xludf.DUMMYFUNCTION("COUNTA(SPLIT(TRIM(C589),"" ""))"),162.0)</f>
        <v>162</v>
      </c>
      <c r="E589" s="7">
        <f t="shared" si="1"/>
        <v>81</v>
      </c>
      <c r="F589" s="7" t="str">
        <f t="shared" si="2"/>
        <v>588.mp3</v>
      </c>
      <c r="G589" s="8" t="s">
        <v>8</v>
      </c>
    </row>
    <row r="590" ht="14.25" customHeight="1">
      <c r="A590" s="1">
        <v>589.0</v>
      </c>
      <c r="B590" s="1">
        <v>197.0</v>
      </c>
      <c r="C590" s="5" t="s">
        <v>593</v>
      </c>
      <c r="D590" s="6">
        <f>IFERROR(__xludf.DUMMYFUNCTION("COUNTA(SPLIT(TRIM(C590),"" ""))"),30.0)</f>
        <v>30</v>
      </c>
      <c r="E590" s="7">
        <f t="shared" si="1"/>
        <v>15</v>
      </c>
      <c r="F590" s="7" t="str">
        <f t="shared" si="2"/>
        <v>589.mp3</v>
      </c>
      <c r="G590" s="8" t="s">
        <v>8</v>
      </c>
    </row>
    <row r="591" ht="14.25" customHeight="1">
      <c r="A591" s="1">
        <v>590.0</v>
      </c>
      <c r="B591" s="1">
        <v>197.0</v>
      </c>
      <c r="C591" s="5" t="s">
        <v>594</v>
      </c>
      <c r="D591" s="6">
        <f>IFERROR(__xludf.DUMMYFUNCTION("COUNTA(SPLIT(TRIM(C591),"" ""))"),104.0)</f>
        <v>104</v>
      </c>
      <c r="E591" s="7">
        <f t="shared" si="1"/>
        <v>52</v>
      </c>
      <c r="F591" s="7" t="str">
        <f t="shared" si="2"/>
        <v>590.mp3</v>
      </c>
      <c r="G591" s="8" t="s">
        <v>8</v>
      </c>
    </row>
    <row r="592" ht="14.25" customHeight="1">
      <c r="A592" s="1">
        <v>591.0</v>
      </c>
      <c r="B592" s="1">
        <v>197.0</v>
      </c>
      <c r="C592" s="5" t="s">
        <v>595</v>
      </c>
      <c r="D592" s="6">
        <f>IFERROR(__xludf.DUMMYFUNCTION("COUNTA(SPLIT(TRIM(C592),"" ""))"),198.0)</f>
        <v>198</v>
      </c>
      <c r="E592" s="7">
        <f t="shared" si="1"/>
        <v>99</v>
      </c>
      <c r="F592" s="7" t="str">
        <f t="shared" si="2"/>
        <v>591.mp3</v>
      </c>
      <c r="G592" s="8" t="s">
        <v>8</v>
      </c>
    </row>
    <row r="593" ht="14.25" customHeight="1">
      <c r="A593" s="1">
        <v>592.0</v>
      </c>
      <c r="B593" s="1">
        <v>198.0</v>
      </c>
      <c r="C593" s="5" t="s">
        <v>596</v>
      </c>
      <c r="D593" s="6">
        <f>IFERROR(__xludf.DUMMYFUNCTION("COUNTA(SPLIT(TRIM(C593),"" ""))"),24.0)</f>
        <v>24</v>
      </c>
      <c r="E593" s="7">
        <f t="shared" si="1"/>
        <v>12</v>
      </c>
      <c r="F593" s="7" t="str">
        <f t="shared" si="2"/>
        <v>592.mp3</v>
      </c>
      <c r="G593" s="8" t="s">
        <v>8</v>
      </c>
    </row>
    <row r="594" ht="14.25" customHeight="1">
      <c r="A594" s="1">
        <v>593.0</v>
      </c>
      <c r="B594" s="1">
        <v>198.0</v>
      </c>
      <c r="C594" s="5" t="s">
        <v>597</v>
      </c>
      <c r="D594" s="6">
        <f>IFERROR(__xludf.DUMMYFUNCTION("COUNTA(SPLIT(TRIM(C594),"" ""))"),107.0)</f>
        <v>107</v>
      </c>
      <c r="E594" s="7">
        <f t="shared" si="1"/>
        <v>54</v>
      </c>
      <c r="F594" s="7" t="str">
        <f t="shared" si="2"/>
        <v>593.mp3</v>
      </c>
      <c r="G594" s="8" t="s">
        <v>8</v>
      </c>
    </row>
    <row r="595" ht="14.25" customHeight="1">
      <c r="A595" s="1">
        <v>594.0</v>
      </c>
      <c r="B595" s="1">
        <v>198.0</v>
      </c>
      <c r="C595" s="5" t="s">
        <v>598</v>
      </c>
      <c r="D595" s="6">
        <f>IFERROR(__xludf.DUMMYFUNCTION("COUNTA(SPLIT(TRIM(C595),"" ""))"),161.0)</f>
        <v>161</v>
      </c>
      <c r="E595" s="7">
        <f t="shared" si="1"/>
        <v>81</v>
      </c>
      <c r="F595" s="7" t="str">
        <f t="shared" si="2"/>
        <v>594.mp3</v>
      </c>
      <c r="G595" s="8" t="s">
        <v>8</v>
      </c>
    </row>
    <row r="596" ht="14.25" customHeight="1">
      <c r="A596" s="1">
        <v>595.0</v>
      </c>
      <c r="B596" s="1">
        <v>199.0</v>
      </c>
      <c r="C596" s="5" t="s">
        <v>599</v>
      </c>
      <c r="D596" s="6">
        <f>IFERROR(__xludf.DUMMYFUNCTION("COUNTA(SPLIT(TRIM(C596),"" ""))"),30.0)</f>
        <v>30</v>
      </c>
      <c r="E596" s="7">
        <f t="shared" si="1"/>
        <v>15</v>
      </c>
      <c r="F596" s="7" t="str">
        <f t="shared" si="2"/>
        <v>595.mp3</v>
      </c>
      <c r="G596" s="8" t="s">
        <v>8</v>
      </c>
    </row>
    <row r="597" ht="14.25" customHeight="1">
      <c r="A597" s="1">
        <v>596.0</v>
      </c>
      <c r="B597" s="1">
        <v>199.0</v>
      </c>
      <c r="C597" s="5" t="s">
        <v>600</v>
      </c>
      <c r="D597" s="6">
        <f>IFERROR(__xludf.DUMMYFUNCTION("COUNTA(SPLIT(TRIM(C597),"" ""))"),144.0)</f>
        <v>144</v>
      </c>
      <c r="E597" s="7">
        <f t="shared" si="1"/>
        <v>72</v>
      </c>
      <c r="F597" s="7" t="str">
        <f t="shared" si="2"/>
        <v>596.mp3</v>
      </c>
      <c r="G597" s="8" t="s">
        <v>8</v>
      </c>
    </row>
    <row r="598" ht="14.25" customHeight="1">
      <c r="A598" s="1">
        <v>597.0</v>
      </c>
      <c r="B598" s="1">
        <v>199.0</v>
      </c>
      <c r="C598" s="5" t="s">
        <v>601</v>
      </c>
      <c r="D598" s="6">
        <f>IFERROR(__xludf.DUMMYFUNCTION("COUNTA(SPLIT(TRIM(C598),"" ""))"),198.0)</f>
        <v>198</v>
      </c>
      <c r="E598" s="7">
        <f t="shared" si="1"/>
        <v>99</v>
      </c>
      <c r="F598" s="7" t="str">
        <f t="shared" si="2"/>
        <v>597.mp3</v>
      </c>
      <c r="G598" s="8" t="s">
        <v>8</v>
      </c>
    </row>
    <row r="599" ht="14.25" customHeight="1">
      <c r="A599" s="1">
        <v>598.0</v>
      </c>
      <c r="B599" s="1">
        <v>200.0</v>
      </c>
      <c r="C599" s="5" t="s">
        <v>602</v>
      </c>
      <c r="D599" s="6">
        <f>IFERROR(__xludf.DUMMYFUNCTION("COUNTA(SPLIT(TRIM(C599),"" ""))"),30.0)</f>
        <v>30</v>
      </c>
      <c r="E599" s="7">
        <f t="shared" si="1"/>
        <v>15</v>
      </c>
      <c r="F599" s="7" t="str">
        <f t="shared" si="2"/>
        <v>598.mp3</v>
      </c>
      <c r="G599" s="8" t="s">
        <v>8</v>
      </c>
    </row>
    <row r="600" ht="14.25" customHeight="1">
      <c r="A600" s="1">
        <v>599.0</v>
      </c>
      <c r="B600" s="1">
        <v>200.0</v>
      </c>
      <c r="C600" s="5" t="s">
        <v>603</v>
      </c>
      <c r="D600" s="6">
        <f>IFERROR(__xludf.DUMMYFUNCTION("COUNTA(SPLIT(TRIM(C600),"" ""))"),101.0)</f>
        <v>101</v>
      </c>
      <c r="E600" s="7">
        <f t="shared" si="1"/>
        <v>51</v>
      </c>
      <c r="F600" s="7" t="str">
        <f t="shared" si="2"/>
        <v>599.mp3</v>
      </c>
      <c r="G600" s="8" t="s">
        <v>8</v>
      </c>
    </row>
    <row r="601" ht="14.25" customHeight="1">
      <c r="A601" s="1">
        <v>600.0</v>
      </c>
      <c r="B601" s="1">
        <v>200.0</v>
      </c>
      <c r="C601" s="5" t="s">
        <v>604</v>
      </c>
      <c r="D601" s="6">
        <f>IFERROR(__xludf.DUMMYFUNCTION("COUNTA(SPLIT(TRIM(C601),"" ""))"),171.0)</f>
        <v>171</v>
      </c>
      <c r="E601" s="7">
        <f t="shared" si="1"/>
        <v>86</v>
      </c>
      <c r="F601" s="7" t="str">
        <f t="shared" si="2"/>
        <v>600.mp3</v>
      </c>
      <c r="G601" s="8" t="s">
        <v>8</v>
      </c>
    </row>
    <row r="602" ht="14.25" customHeight="1">
      <c r="A602" s="1">
        <v>601.0</v>
      </c>
      <c r="B602" s="1">
        <v>201.0</v>
      </c>
      <c r="C602" s="5" t="s">
        <v>605</v>
      </c>
      <c r="D602" s="6">
        <f>IFERROR(__xludf.DUMMYFUNCTION("COUNTA(SPLIT(TRIM(C602),"" ""))"),20.0)</f>
        <v>20</v>
      </c>
      <c r="E602" s="7">
        <f t="shared" si="1"/>
        <v>10</v>
      </c>
      <c r="F602" s="7" t="str">
        <f t="shared" si="2"/>
        <v>601.mp3</v>
      </c>
      <c r="G602" s="8" t="s">
        <v>8</v>
      </c>
    </row>
    <row r="603" ht="14.25" customHeight="1">
      <c r="A603" s="1">
        <v>602.0</v>
      </c>
      <c r="B603" s="1">
        <v>201.0</v>
      </c>
      <c r="C603" s="5" t="s">
        <v>606</v>
      </c>
      <c r="D603" s="6">
        <f>IFERROR(__xludf.DUMMYFUNCTION("COUNTA(SPLIT(TRIM(C603),"" ""))"),89.0)</f>
        <v>89</v>
      </c>
      <c r="E603" s="7">
        <f t="shared" si="1"/>
        <v>45</v>
      </c>
      <c r="F603" s="7" t="str">
        <f t="shared" si="2"/>
        <v>602.mp3</v>
      </c>
      <c r="G603" s="8" t="s">
        <v>8</v>
      </c>
    </row>
    <row r="604" ht="14.25" customHeight="1">
      <c r="A604" s="1">
        <v>603.0</v>
      </c>
      <c r="B604" s="1">
        <v>201.0</v>
      </c>
      <c r="C604" s="5" t="s">
        <v>607</v>
      </c>
      <c r="D604" s="6">
        <f>IFERROR(__xludf.DUMMYFUNCTION("COUNTA(SPLIT(TRIM(C604),"" ""))"),156.0)</f>
        <v>156</v>
      </c>
      <c r="E604" s="7">
        <f t="shared" si="1"/>
        <v>78</v>
      </c>
      <c r="F604" s="7" t="str">
        <f t="shared" si="2"/>
        <v>603.mp3</v>
      </c>
      <c r="G604" s="8" t="s">
        <v>8</v>
      </c>
    </row>
    <row r="605" ht="14.25" customHeight="1">
      <c r="A605" s="1">
        <v>604.0</v>
      </c>
      <c r="B605" s="1">
        <v>202.0</v>
      </c>
      <c r="C605" s="5" t="s">
        <v>608</v>
      </c>
      <c r="D605" s="6">
        <f>IFERROR(__xludf.DUMMYFUNCTION("COUNTA(SPLIT(TRIM(C605),"" ""))"),27.0)</f>
        <v>27</v>
      </c>
      <c r="E605" s="7">
        <f t="shared" si="1"/>
        <v>14</v>
      </c>
      <c r="F605" s="7" t="str">
        <f t="shared" si="2"/>
        <v>604.mp3</v>
      </c>
      <c r="G605" s="8" t="s">
        <v>8</v>
      </c>
    </row>
    <row r="606" ht="14.25" customHeight="1">
      <c r="A606" s="1">
        <v>605.0</v>
      </c>
      <c r="B606" s="1">
        <v>202.0</v>
      </c>
      <c r="C606" s="5" t="s">
        <v>609</v>
      </c>
      <c r="D606" s="6">
        <f>IFERROR(__xludf.DUMMYFUNCTION("COUNTA(SPLIT(TRIM(C606),"" ""))"),100.0)</f>
        <v>100</v>
      </c>
      <c r="E606" s="7">
        <f t="shared" si="1"/>
        <v>50</v>
      </c>
      <c r="F606" s="7" t="str">
        <f t="shared" si="2"/>
        <v>605.mp3</v>
      </c>
      <c r="G606" s="8" t="s">
        <v>8</v>
      </c>
    </row>
    <row r="607" ht="14.25" customHeight="1">
      <c r="A607" s="1">
        <v>606.0</v>
      </c>
      <c r="B607" s="1">
        <v>202.0</v>
      </c>
      <c r="C607" s="5" t="s">
        <v>610</v>
      </c>
      <c r="D607" s="6">
        <f>IFERROR(__xludf.DUMMYFUNCTION("COUNTA(SPLIT(TRIM(C607),"" ""))"),167.0)</f>
        <v>167</v>
      </c>
      <c r="E607" s="7">
        <f t="shared" si="1"/>
        <v>84</v>
      </c>
      <c r="F607" s="7" t="str">
        <f t="shared" si="2"/>
        <v>606.mp3</v>
      </c>
      <c r="G607" s="8" t="s">
        <v>8</v>
      </c>
    </row>
    <row r="608" ht="14.25" customHeight="1">
      <c r="A608" s="1">
        <v>607.0</v>
      </c>
      <c r="B608" s="1">
        <v>203.0</v>
      </c>
      <c r="C608" s="5" t="s">
        <v>611</v>
      </c>
      <c r="D608" s="6">
        <f>IFERROR(__xludf.DUMMYFUNCTION("COUNTA(SPLIT(TRIM(C608),"" ""))"),23.0)</f>
        <v>23</v>
      </c>
      <c r="E608" s="7">
        <f t="shared" si="1"/>
        <v>12</v>
      </c>
      <c r="F608" s="7" t="str">
        <f t="shared" si="2"/>
        <v>607.mp3</v>
      </c>
      <c r="G608" s="8" t="s">
        <v>8</v>
      </c>
    </row>
    <row r="609" ht="14.25" customHeight="1">
      <c r="A609" s="1">
        <v>608.0</v>
      </c>
      <c r="B609" s="1">
        <v>203.0</v>
      </c>
      <c r="C609" s="5" t="s">
        <v>612</v>
      </c>
      <c r="D609" s="6">
        <f>IFERROR(__xludf.DUMMYFUNCTION("COUNTA(SPLIT(TRIM(C609),"" ""))"),89.0)</f>
        <v>89</v>
      </c>
      <c r="E609" s="7">
        <f t="shared" si="1"/>
        <v>45</v>
      </c>
      <c r="F609" s="7" t="str">
        <f t="shared" si="2"/>
        <v>608.mp3</v>
      </c>
      <c r="G609" s="8" t="s">
        <v>8</v>
      </c>
    </row>
    <row r="610" ht="14.25" customHeight="1">
      <c r="A610" s="1">
        <v>609.0</v>
      </c>
      <c r="B610" s="1">
        <v>203.0</v>
      </c>
      <c r="C610" s="5" t="s">
        <v>613</v>
      </c>
      <c r="D610" s="6">
        <f>IFERROR(__xludf.DUMMYFUNCTION("COUNTA(SPLIT(TRIM(C610),"" ""))"),168.0)</f>
        <v>168</v>
      </c>
      <c r="E610" s="7">
        <f t="shared" si="1"/>
        <v>84</v>
      </c>
      <c r="F610" s="7" t="str">
        <f t="shared" si="2"/>
        <v>609.mp3</v>
      </c>
      <c r="G610" s="8" t="s">
        <v>8</v>
      </c>
    </row>
    <row r="611" ht="14.25" customHeight="1">
      <c r="A611" s="1">
        <v>610.0</v>
      </c>
      <c r="B611" s="1">
        <v>204.0</v>
      </c>
      <c r="C611" s="5" t="s">
        <v>614</v>
      </c>
      <c r="D611" s="6">
        <f>IFERROR(__xludf.DUMMYFUNCTION("COUNTA(SPLIT(TRIM(C611),"" ""))"),25.0)</f>
        <v>25</v>
      </c>
      <c r="E611" s="7">
        <f t="shared" si="1"/>
        <v>13</v>
      </c>
      <c r="F611" s="7" t="str">
        <f t="shared" si="2"/>
        <v>610.mp3</v>
      </c>
      <c r="G611" s="8" t="s">
        <v>8</v>
      </c>
    </row>
    <row r="612" ht="14.25" customHeight="1">
      <c r="A612" s="1">
        <v>611.0</v>
      </c>
      <c r="B612" s="1">
        <v>204.0</v>
      </c>
      <c r="C612" s="5" t="s">
        <v>615</v>
      </c>
      <c r="D612" s="6">
        <f>IFERROR(__xludf.DUMMYFUNCTION("COUNTA(SPLIT(TRIM(C612),"" ""))"),104.0)</f>
        <v>104</v>
      </c>
      <c r="E612" s="7">
        <f t="shared" si="1"/>
        <v>52</v>
      </c>
      <c r="F612" s="7" t="str">
        <f t="shared" si="2"/>
        <v>611.mp3</v>
      </c>
      <c r="G612" s="8" t="s">
        <v>8</v>
      </c>
    </row>
    <row r="613" ht="14.25" customHeight="1">
      <c r="A613" s="1">
        <v>612.0</v>
      </c>
      <c r="B613" s="1">
        <v>204.0</v>
      </c>
      <c r="C613" s="5" t="s">
        <v>616</v>
      </c>
      <c r="D613" s="6">
        <f>IFERROR(__xludf.DUMMYFUNCTION("COUNTA(SPLIT(TRIM(C613),"" ""))"),164.0)</f>
        <v>164</v>
      </c>
      <c r="E613" s="7">
        <f t="shared" si="1"/>
        <v>82</v>
      </c>
      <c r="F613" s="7" t="str">
        <f t="shared" si="2"/>
        <v>612.mp3</v>
      </c>
      <c r="G613" s="8" t="s">
        <v>8</v>
      </c>
    </row>
    <row r="614" ht="14.25" customHeight="1">
      <c r="A614" s="1">
        <v>613.0</v>
      </c>
      <c r="B614" s="1">
        <v>205.0</v>
      </c>
      <c r="C614" s="5" t="s">
        <v>617</v>
      </c>
      <c r="D614" s="6">
        <f>IFERROR(__xludf.DUMMYFUNCTION("COUNTA(SPLIT(TRIM(C614),"" ""))"),26.0)</f>
        <v>26</v>
      </c>
      <c r="E614" s="7">
        <f t="shared" si="1"/>
        <v>13</v>
      </c>
      <c r="F614" s="7" t="str">
        <f t="shared" si="2"/>
        <v>613.mp3</v>
      </c>
      <c r="G614" s="8" t="s">
        <v>8</v>
      </c>
    </row>
    <row r="615" ht="14.25" customHeight="1">
      <c r="A615" s="1">
        <v>614.0</v>
      </c>
      <c r="B615" s="1">
        <v>205.0</v>
      </c>
      <c r="C615" s="5" t="s">
        <v>618</v>
      </c>
      <c r="D615" s="6">
        <f>IFERROR(__xludf.DUMMYFUNCTION("COUNTA(SPLIT(TRIM(C615),"" ""))"),83.0)</f>
        <v>83</v>
      </c>
      <c r="E615" s="7">
        <f t="shared" si="1"/>
        <v>42</v>
      </c>
      <c r="F615" s="7" t="str">
        <f t="shared" si="2"/>
        <v>614.mp3</v>
      </c>
      <c r="G615" s="8" t="s">
        <v>8</v>
      </c>
    </row>
    <row r="616" ht="14.25" customHeight="1">
      <c r="A616" s="1">
        <v>615.0</v>
      </c>
      <c r="B616" s="1">
        <v>205.0</v>
      </c>
      <c r="C616" s="5" t="s">
        <v>619</v>
      </c>
      <c r="D616" s="6">
        <f>IFERROR(__xludf.DUMMYFUNCTION("COUNTA(SPLIT(TRIM(C616),"" ""))"),151.0)</f>
        <v>151</v>
      </c>
      <c r="E616" s="7">
        <f t="shared" si="1"/>
        <v>76</v>
      </c>
      <c r="F616" s="7" t="str">
        <f t="shared" si="2"/>
        <v>615.mp3</v>
      </c>
      <c r="G616" s="8" t="s">
        <v>8</v>
      </c>
    </row>
    <row r="617" ht="14.25" customHeight="1">
      <c r="A617" s="1">
        <v>616.0</v>
      </c>
      <c r="B617" s="1">
        <v>206.0</v>
      </c>
      <c r="C617" s="5" t="s">
        <v>620</v>
      </c>
      <c r="D617" s="6">
        <f>IFERROR(__xludf.DUMMYFUNCTION("COUNTA(SPLIT(TRIM(C617),"" ""))"),27.0)</f>
        <v>27</v>
      </c>
      <c r="E617" s="7">
        <f t="shared" si="1"/>
        <v>14</v>
      </c>
      <c r="F617" s="7" t="str">
        <f t="shared" si="2"/>
        <v>616.mp3</v>
      </c>
      <c r="G617" s="8" t="s">
        <v>8</v>
      </c>
    </row>
    <row r="618" ht="14.25" customHeight="1">
      <c r="A618" s="1">
        <v>617.0</v>
      </c>
      <c r="B618" s="1">
        <v>206.0</v>
      </c>
      <c r="C618" s="5" t="s">
        <v>621</v>
      </c>
      <c r="D618" s="6">
        <f>IFERROR(__xludf.DUMMYFUNCTION("COUNTA(SPLIT(TRIM(C618),"" ""))"),93.0)</f>
        <v>93</v>
      </c>
      <c r="E618" s="7">
        <f t="shared" si="1"/>
        <v>47</v>
      </c>
      <c r="F618" s="7" t="str">
        <f t="shared" si="2"/>
        <v>617.mp3</v>
      </c>
      <c r="G618" s="8" t="s">
        <v>8</v>
      </c>
    </row>
    <row r="619" ht="14.25" customHeight="1">
      <c r="A619" s="1">
        <v>618.0</v>
      </c>
      <c r="B619" s="1">
        <v>206.0</v>
      </c>
      <c r="C619" s="5" t="s">
        <v>622</v>
      </c>
      <c r="D619" s="6">
        <f>IFERROR(__xludf.DUMMYFUNCTION("COUNTA(SPLIT(TRIM(C619),"" ""))"),172.0)</f>
        <v>172</v>
      </c>
      <c r="E619" s="7">
        <f t="shared" si="1"/>
        <v>86</v>
      </c>
      <c r="F619" s="7" t="str">
        <f t="shared" si="2"/>
        <v>618.mp3</v>
      </c>
      <c r="G619" s="8" t="s">
        <v>8</v>
      </c>
    </row>
    <row r="620" ht="14.25" customHeight="1">
      <c r="A620" s="1">
        <v>619.0</v>
      </c>
      <c r="B620" s="1">
        <v>207.0</v>
      </c>
      <c r="C620" s="5" t="s">
        <v>623</v>
      </c>
      <c r="D620" s="6">
        <f>IFERROR(__xludf.DUMMYFUNCTION("COUNTA(SPLIT(TRIM(C620),"" ""))"),25.0)</f>
        <v>25</v>
      </c>
      <c r="E620" s="7">
        <f t="shared" si="1"/>
        <v>13</v>
      </c>
      <c r="F620" s="7" t="str">
        <f t="shared" si="2"/>
        <v>619.mp3</v>
      </c>
      <c r="G620" s="8" t="s">
        <v>8</v>
      </c>
    </row>
    <row r="621" ht="14.25" customHeight="1">
      <c r="A621" s="1">
        <v>620.0</v>
      </c>
      <c r="B621" s="1">
        <v>207.0</v>
      </c>
      <c r="C621" s="5" t="s">
        <v>624</v>
      </c>
      <c r="D621" s="6">
        <f>IFERROR(__xludf.DUMMYFUNCTION("COUNTA(SPLIT(TRIM(C621),"" ""))"),109.0)</f>
        <v>109</v>
      </c>
      <c r="E621" s="7">
        <f t="shared" si="1"/>
        <v>55</v>
      </c>
      <c r="F621" s="7" t="str">
        <f t="shared" si="2"/>
        <v>620.mp3</v>
      </c>
      <c r="G621" s="8" t="s">
        <v>8</v>
      </c>
    </row>
    <row r="622" ht="14.25" customHeight="1">
      <c r="A622" s="1">
        <v>621.0</v>
      </c>
      <c r="B622" s="1">
        <v>207.0</v>
      </c>
      <c r="C622" s="5" t="s">
        <v>625</v>
      </c>
      <c r="D622" s="6">
        <f>IFERROR(__xludf.DUMMYFUNCTION("COUNTA(SPLIT(TRIM(C622),"" ""))"),170.0)</f>
        <v>170</v>
      </c>
      <c r="E622" s="7">
        <f t="shared" si="1"/>
        <v>85</v>
      </c>
      <c r="F622" s="7" t="str">
        <f t="shared" si="2"/>
        <v>621.mp3</v>
      </c>
      <c r="G622" s="8" t="s">
        <v>8</v>
      </c>
    </row>
    <row r="623" ht="14.25" customHeight="1">
      <c r="A623" s="1">
        <v>622.0</v>
      </c>
      <c r="B623" s="1">
        <v>208.0</v>
      </c>
      <c r="C623" s="5" t="s">
        <v>626</v>
      </c>
      <c r="D623" s="6">
        <f>IFERROR(__xludf.DUMMYFUNCTION("COUNTA(SPLIT(TRIM(C623),"" ""))"),26.0)</f>
        <v>26</v>
      </c>
      <c r="E623" s="7">
        <f t="shared" si="1"/>
        <v>13</v>
      </c>
      <c r="F623" s="7" t="str">
        <f t="shared" si="2"/>
        <v>622.mp3</v>
      </c>
      <c r="G623" s="8" t="s">
        <v>8</v>
      </c>
    </row>
    <row r="624" ht="14.25" customHeight="1">
      <c r="A624" s="1">
        <v>623.0</v>
      </c>
      <c r="B624" s="1">
        <v>208.0</v>
      </c>
      <c r="C624" s="5" t="s">
        <v>627</v>
      </c>
      <c r="D624" s="6">
        <f>IFERROR(__xludf.DUMMYFUNCTION("COUNTA(SPLIT(TRIM(C624),"" ""))"),94.0)</f>
        <v>94</v>
      </c>
      <c r="E624" s="7">
        <f t="shared" si="1"/>
        <v>47</v>
      </c>
      <c r="F624" s="7" t="str">
        <f t="shared" si="2"/>
        <v>623.mp3</v>
      </c>
      <c r="G624" s="8" t="s">
        <v>8</v>
      </c>
    </row>
    <row r="625" ht="14.25" customHeight="1">
      <c r="A625" s="1">
        <v>624.0</v>
      </c>
      <c r="B625" s="1">
        <v>208.0</v>
      </c>
      <c r="C625" s="5" t="s">
        <v>628</v>
      </c>
      <c r="D625" s="6">
        <f>IFERROR(__xludf.DUMMYFUNCTION("COUNTA(SPLIT(TRIM(C625),"" ""))"),177.0)</f>
        <v>177</v>
      </c>
      <c r="E625" s="7">
        <f t="shared" si="1"/>
        <v>89</v>
      </c>
      <c r="F625" s="7" t="str">
        <f t="shared" si="2"/>
        <v>624.mp3</v>
      </c>
      <c r="G625" s="8" t="s">
        <v>8</v>
      </c>
    </row>
    <row r="626" ht="14.25" customHeight="1">
      <c r="A626" s="1">
        <v>625.0</v>
      </c>
      <c r="B626" s="1">
        <v>209.0</v>
      </c>
      <c r="C626" s="5" t="s">
        <v>629</v>
      </c>
      <c r="D626" s="6">
        <f>IFERROR(__xludf.DUMMYFUNCTION("COUNTA(SPLIT(TRIM(C626),"" ""))"),21.0)</f>
        <v>21</v>
      </c>
      <c r="E626" s="7">
        <f t="shared" si="1"/>
        <v>11</v>
      </c>
      <c r="F626" s="7" t="str">
        <f t="shared" si="2"/>
        <v>625.mp3</v>
      </c>
      <c r="G626" s="8" t="s">
        <v>8</v>
      </c>
    </row>
    <row r="627" ht="14.25" customHeight="1">
      <c r="A627" s="1">
        <v>626.0</v>
      </c>
      <c r="B627" s="1">
        <v>209.0</v>
      </c>
      <c r="C627" s="5" t="s">
        <v>630</v>
      </c>
      <c r="D627" s="6">
        <f>IFERROR(__xludf.DUMMYFUNCTION("COUNTA(SPLIT(TRIM(C627),"" ""))"),91.0)</f>
        <v>91</v>
      </c>
      <c r="E627" s="7">
        <f t="shared" si="1"/>
        <v>46</v>
      </c>
      <c r="F627" s="7" t="str">
        <f t="shared" si="2"/>
        <v>626.mp3</v>
      </c>
      <c r="G627" s="8" t="s">
        <v>8</v>
      </c>
    </row>
    <row r="628" ht="14.25" customHeight="1">
      <c r="A628" s="1">
        <v>627.0</v>
      </c>
      <c r="B628" s="1">
        <v>209.0</v>
      </c>
      <c r="C628" s="5" t="s">
        <v>631</v>
      </c>
      <c r="D628" s="6">
        <f>IFERROR(__xludf.DUMMYFUNCTION("COUNTA(SPLIT(TRIM(C628),"" ""))"),179.0)</f>
        <v>179</v>
      </c>
      <c r="E628" s="7">
        <f t="shared" si="1"/>
        <v>90</v>
      </c>
      <c r="F628" s="7" t="str">
        <f t="shared" si="2"/>
        <v>627.mp3</v>
      </c>
      <c r="G628" s="8" t="s">
        <v>8</v>
      </c>
    </row>
    <row r="629" ht="14.25" customHeight="1">
      <c r="A629" s="1">
        <v>628.0</v>
      </c>
      <c r="B629" s="1">
        <v>210.0</v>
      </c>
      <c r="C629" s="5" t="s">
        <v>632</v>
      </c>
      <c r="D629" s="6">
        <f>IFERROR(__xludf.DUMMYFUNCTION("COUNTA(SPLIT(TRIM(C629),"" ""))"),27.0)</f>
        <v>27</v>
      </c>
      <c r="E629" s="7">
        <f t="shared" si="1"/>
        <v>14</v>
      </c>
      <c r="F629" s="7" t="str">
        <f t="shared" si="2"/>
        <v>628.mp3</v>
      </c>
      <c r="G629" s="8" t="s">
        <v>8</v>
      </c>
    </row>
    <row r="630" ht="14.25" customHeight="1">
      <c r="A630" s="1">
        <v>629.0</v>
      </c>
      <c r="B630" s="1">
        <v>210.0</v>
      </c>
      <c r="C630" s="5" t="s">
        <v>633</v>
      </c>
      <c r="D630" s="6">
        <f>IFERROR(__xludf.DUMMYFUNCTION("COUNTA(SPLIT(TRIM(C630),"" ""))"),110.0)</f>
        <v>110</v>
      </c>
      <c r="E630" s="7">
        <f t="shared" si="1"/>
        <v>55</v>
      </c>
      <c r="F630" s="7" t="str">
        <f t="shared" si="2"/>
        <v>629.mp3</v>
      </c>
      <c r="G630" s="8" t="s">
        <v>8</v>
      </c>
    </row>
    <row r="631" ht="14.25" customHeight="1">
      <c r="A631" s="1">
        <v>630.0</v>
      </c>
      <c r="B631" s="1">
        <v>210.0</v>
      </c>
      <c r="C631" s="5" t="s">
        <v>634</v>
      </c>
      <c r="D631" s="6">
        <f>IFERROR(__xludf.DUMMYFUNCTION("COUNTA(SPLIT(TRIM(C631),"" ""))"),186.0)</f>
        <v>186</v>
      </c>
      <c r="E631" s="7">
        <f t="shared" si="1"/>
        <v>93</v>
      </c>
      <c r="F631" s="7" t="str">
        <f t="shared" si="2"/>
        <v>630.mp3</v>
      </c>
      <c r="G631" s="8" t="s">
        <v>8</v>
      </c>
    </row>
    <row r="632" ht="14.25" customHeight="1">
      <c r="A632" s="1">
        <v>631.0</v>
      </c>
      <c r="B632" s="1">
        <v>211.0</v>
      </c>
      <c r="C632" s="5" t="s">
        <v>635</v>
      </c>
      <c r="D632" s="6">
        <f>IFERROR(__xludf.DUMMYFUNCTION("COUNTA(SPLIT(TRIM(C632),"" ""))"),30.0)</f>
        <v>30</v>
      </c>
      <c r="E632" s="7">
        <f t="shared" si="1"/>
        <v>15</v>
      </c>
      <c r="F632" s="7" t="str">
        <f t="shared" si="2"/>
        <v>631.mp3</v>
      </c>
      <c r="G632" s="8" t="s">
        <v>8</v>
      </c>
    </row>
    <row r="633" ht="14.25" customHeight="1">
      <c r="A633" s="1">
        <v>632.0</v>
      </c>
      <c r="B633" s="1">
        <v>211.0</v>
      </c>
      <c r="C633" s="5" t="s">
        <v>636</v>
      </c>
      <c r="D633" s="6">
        <f>IFERROR(__xludf.DUMMYFUNCTION("COUNTA(SPLIT(TRIM(C633),"" ""))"),106.0)</f>
        <v>106</v>
      </c>
      <c r="E633" s="7">
        <f t="shared" si="1"/>
        <v>53</v>
      </c>
      <c r="F633" s="7" t="str">
        <f t="shared" si="2"/>
        <v>632.mp3</v>
      </c>
      <c r="G633" s="8" t="s">
        <v>8</v>
      </c>
    </row>
    <row r="634" ht="14.25" customHeight="1">
      <c r="A634" s="1">
        <v>633.0</v>
      </c>
      <c r="B634" s="1">
        <v>211.0</v>
      </c>
      <c r="C634" s="5" t="s">
        <v>637</v>
      </c>
      <c r="D634" s="6">
        <f>IFERROR(__xludf.DUMMYFUNCTION("COUNTA(SPLIT(TRIM(C634),"" ""))"),154.0)</f>
        <v>154</v>
      </c>
      <c r="E634" s="7">
        <f t="shared" si="1"/>
        <v>77</v>
      </c>
      <c r="F634" s="7" t="str">
        <f t="shared" si="2"/>
        <v>633.mp3</v>
      </c>
      <c r="G634" s="8" t="s">
        <v>8</v>
      </c>
    </row>
    <row r="635" ht="14.25" customHeight="1">
      <c r="A635" s="1">
        <v>634.0</v>
      </c>
      <c r="B635" s="1">
        <v>212.0</v>
      </c>
      <c r="C635" s="5" t="s">
        <v>638</v>
      </c>
      <c r="D635" s="6">
        <f>IFERROR(__xludf.DUMMYFUNCTION("COUNTA(SPLIT(TRIM(C635),"" ""))"),26.0)</f>
        <v>26</v>
      </c>
      <c r="E635" s="7">
        <f t="shared" si="1"/>
        <v>13</v>
      </c>
      <c r="F635" s="7" t="str">
        <f t="shared" si="2"/>
        <v>634.mp3</v>
      </c>
      <c r="G635" s="8" t="s">
        <v>8</v>
      </c>
    </row>
    <row r="636" ht="14.25" customHeight="1">
      <c r="A636" s="1">
        <v>635.0</v>
      </c>
      <c r="B636" s="1">
        <v>212.0</v>
      </c>
      <c r="C636" s="5" t="s">
        <v>639</v>
      </c>
      <c r="D636" s="6">
        <f>IFERROR(__xludf.DUMMYFUNCTION("COUNTA(SPLIT(TRIM(C636),"" ""))"),107.0)</f>
        <v>107</v>
      </c>
      <c r="E636" s="7">
        <f t="shared" si="1"/>
        <v>54</v>
      </c>
      <c r="F636" s="7" t="str">
        <f t="shared" si="2"/>
        <v>635.mp3</v>
      </c>
      <c r="G636" s="8" t="s">
        <v>8</v>
      </c>
    </row>
    <row r="637" ht="14.25" customHeight="1">
      <c r="A637" s="1">
        <v>636.0</v>
      </c>
      <c r="B637" s="1">
        <v>212.0</v>
      </c>
      <c r="C637" s="5" t="s">
        <v>640</v>
      </c>
      <c r="D637" s="6">
        <f>IFERROR(__xludf.DUMMYFUNCTION("COUNTA(SPLIT(TRIM(C637),"" ""))"),155.0)</f>
        <v>155</v>
      </c>
      <c r="E637" s="7">
        <f t="shared" si="1"/>
        <v>78</v>
      </c>
      <c r="F637" s="7" t="str">
        <f t="shared" si="2"/>
        <v>636.mp3</v>
      </c>
      <c r="G637" s="8" t="s">
        <v>8</v>
      </c>
    </row>
    <row r="638" ht="14.25" customHeight="1">
      <c r="A638" s="1">
        <v>637.0</v>
      </c>
      <c r="B638" s="1">
        <v>213.0</v>
      </c>
      <c r="C638" s="5" t="s">
        <v>641</v>
      </c>
      <c r="D638" s="6">
        <f>IFERROR(__xludf.DUMMYFUNCTION("COUNTA(SPLIT(TRIM(C638),"" ""))"),28.0)</f>
        <v>28</v>
      </c>
      <c r="E638" s="7">
        <f t="shared" si="1"/>
        <v>14</v>
      </c>
      <c r="F638" s="7" t="str">
        <f t="shared" si="2"/>
        <v>637.mp3</v>
      </c>
      <c r="G638" s="8" t="s">
        <v>8</v>
      </c>
    </row>
    <row r="639" ht="14.25" customHeight="1">
      <c r="A639" s="1">
        <v>638.0</v>
      </c>
      <c r="B639" s="1">
        <v>213.0</v>
      </c>
      <c r="C639" s="5" t="s">
        <v>642</v>
      </c>
      <c r="D639" s="6">
        <f>IFERROR(__xludf.DUMMYFUNCTION("COUNTA(SPLIT(TRIM(C639),"" ""))"),86.0)</f>
        <v>86</v>
      </c>
      <c r="E639" s="7">
        <f t="shared" si="1"/>
        <v>43</v>
      </c>
      <c r="F639" s="7" t="str">
        <f t="shared" si="2"/>
        <v>638.mp3</v>
      </c>
      <c r="G639" s="8" t="s">
        <v>8</v>
      </c>
    </row>
    <row r="640" ht="14.25" customHeight="1">
      <c r="A640" s="1">
        <v>639.0</v>
      </c>
      <c r="B640" s="1">
        <v>213.0</v>
      </c>
      <c r="C640" s="5" t="s">
        <v>643</v>
      </c>
      <c r="D640" s="6">
        <f>IFERROR(__xludf.DUMMYFUNCTION("COUNTA(SPLIT(TRIM(C640),"" ""))"),169.0)</f>
        <v>169</v>
      </c>
      <c r="E640" s="7">
        <f t="shared" si="1"/>
        <v>85</v>
      </c>
      <c r="F640" s="7" t="str">
        <f t="shared" si="2"/>
        <v>639.mp3</v>
      </c>
      <c r="G640" s="8" t="s">
        <v>8</v>
      </c>
    </row>
    <row r="641" ht="14.25" customHeight="1">
      <c r="A641" s="1">
        <v>640.0</v>
      </c>
      <c r="B641" s="1">
        <v>214.0</v>
      </c>
      <c r="C641" s="5" t="s">
        <v>644</v>
      </c>
      <c r="D641" s="6">
        <f>IFERROR(__xludf.DUMMYFUNCTION("COUNTA(SPLIT(TRIM(C641),"" ""))"),29.0)</f>
        <v>29</v>
      </c>
      <c r="E641" s="7">
        <f t="shared" si="1"/>
        <v>15</v>
      </c>
      <c r="F641" s="7" t="str">
        <f t="shared" si="2"/>
        <v>640.mp3</v>
      </c>
      <c r="G641" s="8" t="s">
        <v>8</v>
      </c>
    </row>
    <row r="642" ht="14.25" customHeight="1">
      <c r="A642" s="1">
        <v>641.0</v>
      </c>
      <c r="B642" s="1">
        <v>214.0</v>
      </c>
      <c r="C642" s="5" t="s">
        <v>645</v>
      </c>
      <c r="D642" s="6">
        <f>IFERROR(__xludf.DUMMYFUNCTION("COUNTA(SPLIT(TRIM(C642),"" ""))"),81.0)</f>
        <v>81</v>
      </c>
      <c r="E642" s="7">
        <f t="shared" si="1"/>
        <v>41</v>
      </c>
      <c r="F642" s="7" t="str">
        <f t="shared" si="2"/>
        <v>641.mp3</v>
      </c>
      <c r="G642" s="8" t="s">
        <v>8</v>
      </c>
    </row>
    <row r="643" ht="14.25" customHeight="1">
      <c r="A643" s="1">
        <v>642.0</v>
      </c>
      <c r="B643" s="1">
        <v>214.0</v>
      </c>
      <c r="C643" s="5" t="s">
        <v>646</v>
      </c>
      <c r="D643" s="6">
        <f>IFERROR(__xludf.DUMMYFUNCTION("COUNTA(SPLIT(TRIM(C643),"" ""))"),173.0)</f>
        <v>173</v>
      </c>
      <c r="E643" s="7">
        <f t="shared" si="1"/>
        <v>87</v>
      </c>
      <c r="F643" s="7" t="str">
        <f t="shared" si="2"/>
        <v>642.mp3</v>
      </c>
      <c r="G643" s="8" t="s">
        <v>8</v>
      </c>
    </row>
    <row r="644" ht="14.25" customHeight="1">
      <c r="A644" s="1">
        <v>643.0</v>
      </c>
      <c r="B644" s="1">
        <v>215.0</v>
      </c>
      <c r="C644" s="5" t="s">
        <v>647</v>
      </c>
      <c r="D644" s="6">
        <f>IFERROR(__xludf.DUMMYFUNCTION("COUNTA(SPLIT(TRIM(C644),"" ""))"),23.0)</f>
        <v>23</v>
      </c>
      <c r="E644" s="7">
        <f t="shared" si="1"/>
        <v>12</v>
      </c>
      <c r="F644" s="7" t="str">
        <f t="shared" si="2"/>
        <v>643.mp3</v>
      </c>
      <c r="G644" s="8" t="s">
        <v>8</v>
      </c>
    </row>
    <row r="645" ht="14.25" customHeight="1">
      <c r="A645" s="1">
        <v>644.0</v>
      </c>
      <c r="B645" s="1">
        <v>215.0</v>
      </c>
      <c r="C645" s="5" t="s">
        <v>648</v>
      </c>
      <c r="D645" s="6">
        <f>IFERROR(__xludf.DUMMYFUNCTION("COUNTA(SPLIT(TRIM(C645),"" ""))"),93.0)</f>
        <v>93</v>
      </c>
      <c r="E645" s="7">
        <f t="shared" si="1"/>
        <v>47</v>
      </c>
      <c r="F645" s="7" t="str">
        <f t="shared" si="2"/>
        <v>644.mp3</v>
      </c>
      <c r="G645" s="8" t="s">
        <v>8</v>
      </c>
    </row>
    <row r="646" ht="14.25" customHeight="1">
      <c r="A646" s="1">
        <v>645.0</v>
      </c>
      <c r="B646" s="1">
        <v>215.0</v>
      </c>
      <c r="C646" s="5" t="s">
        <v>649</v>
      </c>
      <c r="D646" s="6">
        <f>IFERROR(__xludf.DUMMYFUNCTION("COUNTA(SPLIT(TRIM(C646),"" ""))"),147.0)</f>
        <v>147</v>
      </c>
      <c r="E646" s="7">
        <f t="shared" si="1"/>
        <v>74</v>
      </c>
      <c r="F646" s="7" t="str">
        <f t="shared" si="2"/>
        <v>645.mp3</v>
      </c>
      <c r="G646" s="8" t="s">
        <v>8</v>
      </c>
    </row>
    <row r="647" ht="14.25" customHeight="1">
      <c r="A647" s="1">
        <v>646.0</v>
      </c>
      <c r="B647" s="1">
        <v>216.0</v>
      </c>
      <c r="C647" s="5" t="s">
        <v>650</v>
      </c>
      <c r="D647" s="6">
        <f>IFERROR(__xludf.DUMMYFUNCTION("COUNTA(SPLIT(TRIM(C647),"" ""))"),26.0)</f>
        <v>26</v>
      </c>
      <c r="E647" s="7">
        <f t="shared" si="1"/>
        <v>13</v>
      </c>
      <c r="F647" s="7" t="str">
        <f t="shared" si="2"/>
        <v>646.mp3</v>
      </c>
      <c r="G647" s="8" t="s">
        <v>8</v>
      </c>
    </row>
    <row r="648" ht="14.25" customHeight="1">
      <c r="A648" s="1">
        <v>647.0</v>
      </c>
      <c r="B648" s="1">
        <v>216.0</v>
      </c>
      <c r="C648" s="5" t="s">
        <v>651</v>
      </c>
      <c r="D648" s="6">
        <f>IFERROR(__xludf.DUMMYFUNCTION("COUNTA(SPLIT(TRIM(C648),"" ""))"),105.0)</f>
        <v>105</v>
      </c>
      <c r="E648" s="7">
        <f t="shared" si="1"/>
        <v>53</v>
      </c>
      <c r="F648" s="7" t="str">
        <f t="shared" si="2"/>
        <v>647.mp3</v>
      </c>
      <c r="G648" s="8" t="s">
        <v>8</v>
      </c>
    </row>
    <row r="649" ht="14.25" customHeight="1">
      <c r="A649" s="1">
        <v>648.0</v>
      </c>
      <c r="B649" s="1">
        <v>216.0</v>
      </c>
      <c r="C649" s="5" t="s">
        <v>652</v>
      </c>
      <c r="D649" s="6">
        <f>IFERROR(__xludf.DUMMYFUNCTION("COUNTA(SPLIT(TRIM(C649),"" ""))"),163.0)</f>
        <v>163</v>
      </c>
      <c r="E649" s="7">
        <f t="shared" si="1"/>
        <v>82</v>
      </c>
      <c r="F649" s="7" t="str">
        <f t="shared" si="2"/>
        <v>648.mp3</v>
      </c>
      <c r="G649" s="8" t="s">
        <v>8</v>
      </c>
    </row>
    <row r="650" ht="14.25" customHeight="1">
      <c r="A650" s="1">
        <v>649.0</v>
      </c>
      <c r="B650" s="1">
        <v>217.0</v>
      </c>
      <c r="C650" s="5" t="s">
        <v>653</v>
      </c>
      <c r="D650" s="6">
        <f>IFERROR(__xludf.DUMMYFUNCTION("COUNTA(SPLIT(TRIM(C650),"" ""))"),24.0)</f>
        <v>24</v>
      </c>
      <c r="E650" s="7">
        <f t="shared" si="1"/>
        <v>12</v>
      </c>
      <c r="F650" s="7" t="str">
        <f t="shared" si="2"/>
        <v>649.mp3</v>
      </c>
      <c r="G650" s="8" t="s">
        <v>8</v>
      </c>
    </row>
    <row r="651" ht="14.25" customHeight="1">
      <c r="A651" s="1">
        <v>650.0</v>
      </c>
      <c r="B651" s="1">
        <v>217.0</v>
      </c>
      <c r="C651" s="5" t="s">
        <v>654</v>
      </c>
      <c r="D651" s="6">
        <f>IFERROR(__xludf.DUMMYFUNCTION("COUNTA(SPLIT(TRIM(C651),"" ""))"),101.0)</f>
        <v>101</v>
      </c>
      <c r="E651" s="7">
        <f t="shared" si="1"/>
        <v>51</v>
      </c>
      <c r="F651" s="7" t="str">
        <f t="shared" si="2"/>
        <v>650.mp3</v>
      </c>
      <c r="G651" s="8" t="s">
        <v>8</v>
      </c>
    </row>
    <row r="652" ht="14.25" customHeight="1">
      <c r="A652" s="1">
        <v>651.0</v>
      </c>
      <c r="B652" s="1">
        <v>217.0</v>
      </c>
      <c r="C652" s="5" t="s">
        <v>655</v>
      </c>
      <c r="D652" s="6">
        <f>IFERROR(__xludf.DUMMYFUNCTION("COUNTA(SPLIT(TRIM(C652),"" ""))"),182.0)</f>
        <v>182</v>
      </c>
      <c r="E652" s="7">
        <f t="shared" si="1"/>
        <v>91</v>
      </c>
      <c r="F652" s="7" t="str">
        <f t="shared" si="2"/>
        <v>651.mp3</v>
      </c>
      <c r="G652" s="8" t="s">
        <v>8</v>
      </c>
    </row>
    <row r="653" ht="14.25" customHeight="1">
      <c r="A653" s="1">
        <v>652.0</v>
      </c>
      <c r="B653" s="1">
        <v>218.0</v>
      </c>
      <c r="C653" s="5" t="s">
        <v>656</v>
      </c>
      <c r="D653" s="6">
        <f>IFERROR(__xludf.DUMMYFUNCTION("COUNTA(SPLIT(TRIM(C653),"" ""))"),33.0)</f>
        <v>33</v>
      </c>
      <c r="E653" s="7">
        <f t="shared" si="1"/>
        <v>17</v>
      </c>
      <c r="F653" s="7" t="str">
        <f t="shared" si="2"/>
        <v>652.mp3</v>
      </c>
      <c r="G653" s="8" t="s">
        <v>8</v>
      </c>
    </row>
    <row r="654" ht="14.25" customHeight="1">
      <c r="A654" s="1">
        <v>653.0</v>
      </c>
      <c r="B654" s="1">
        <v>218.0</v>
      </c>
      <c r="C654" s="5" t="s">
        <v>657</v>
      </c>
      <c r="D654" s="6">
        <f>IFERROR(__xludf.DUMMYFUNCTION("COUNTA(SPLIT(TRIM(C654),"" ""))"),114.0)</f>
        <v>114</v>
      </c>
      <c r="E654" s="7">
        <f t="shared" si="1"/>
        <v>57</v>
      </c>
      <c r="F654" s="7" t="str">
        <f t="shared" si="2"/>
        <v>653.mp3</v>
      </c>
      <c r="G654" s="8" t="s">
        <v>8</v>
      </c>
    </row>
    <row r="655" ht="14.25" customHeight="1">
      <c r="A655" s="1">
        <v>654.0</v>
      </c>
      <c r="B655" s="1">
        <v>218.0</v>
      </c>
      <c r="C655" s="5" t="s">
        <v>658</v>
      </c>
      <c r="D655" s="6">
        <f>IFERROR(__xludf.DUMMYFUNCTION("COUNTA(SPLIT(TRIM(C655),"" ""))"),177.0)</f>
        <v>177</v>
      </c>
      <c r="E655" s="7">
        <f t="shared" si="1"/>
        <v>89</v>
      </c>
      <c r="F655" s="7" t="str">
        <f t="shared" si="2"/>
        <v>654.mp3</v>
      </c>
      <c r="G655" s="8" t="s">
        <v>8</v>
      </c>
    </row>
    <row r="656" ht="14.25" customHeight="1">
      <c r="A656" s="1">
        <v>655.0</v>
      </c>
      <c r="B656" s="1">
        <v>219.0</v>
      </c>
      <c r="C656" s="5" t="s">
        <v>659</v>
      </c>
      <c r="D656" s="6">
        <f>IFERROR(__xludf.DUMMYFUNCTION("COUNTA(SPLIT(TRIM(C656),"" ""))"),33.0)</f>
        <v>33</v>
      </c>
      <c r="E656" s="7">
        <f t="shared" si="1"/>
        <v>17</v>
      </c>
      <c r="F656" s="7" t="str">
        <f t="shared" si="2"/>
        <v>655.mp3</v>
      </c>
      <c r="G656" s="8" t="s">
        <v>8</v>
      </c>
    </row>
    <row r="657" ht="14.25" customHeight="1">
      <c r="A657" s="1">
        <v>656.0</v>
      </c>
      <c r="B657" s="1">
        <v>219.0</v>
      </c>
      <c r="C657" s="5" t="s">
        <v>660</v>
      </c>
      <c r="D657" s="6">
        <f>IFERROR(__xludf.DUMMYFUNCTION("COUNTA(SPLIT(TRIM(C657),"" ""))"),96.0)</f>
        <v>96</v>
      </c>
      <c r="E657" s="7">
        <f t="shared" si="1"/>
        <v>48</v>
      </c>
      <c r="F657" s="7" t="str">
        <f t="shared" si="2"/>
        <v>656.mp3</v>
      </c>
      <c r="G657" s="8" t="s">
        <v>8</v>
      </c>
    </row>
    <row r="658" ht="14.25" customHeight="1">
      <c r="A658" s="1">
        <v>657.0</v>
      </c>
      <c r="B658" s="1">
        <v>219.0</v>
      </c>
      <c r="C658" s="5" t="s">
        <v>661</v>
      </c>
      <c r="D658" s="6">
        <f>IFERROR(__xludf.DUMMYFUNCTION("COUNTA(SPLIT(TRIM(C658),"" ""))"),185.0)</f>
        <v>185</v>
      </c>
      <c r="E658" s="7">
        <f t="shared" si="1"/>
        <v>93</v>
      </c>
      <c r="F658" s="7" t="str">
        <f t="shared" si="2"/>
        <v>657.mp3</v>
      </c>
      <c r="G658" s="8" t="s">
        <v>8</v>
      </c>
    </row>
    <row r="659" ht="14.25" customHeight="1">
      <c r="A659" s="1">
        <v>658.0</v>
      </c>
      <c r="B659" s="1">
        <v>220.0</v>
      </c>
      <c r="C659" s="5" t="s">
        <v>662</v>
      </c>
      <c r="D659" s="6">
        <f>IFERROR(__xludf.DUMMYFUNCTION("COUNTA(SPLIT(TRIM(C659),"" ""))"),28.0)</f>
        <v>28</v>
      </c>
      <c r="E659" s="7">
        <f t="shared" si="1"/>
        <v>14</v>
      </c>
      <c r="F659" s="7" t="str">
        <f t="shared" si="2"/>
        <v>658.mp3</v>
      </c>
      <c r="G659" s="8" t="s">
        <v>8</v>
      </c>
    </row>
    <row r="660" ht="14.25" customHeight="1">
      <c r="A660" s="1">
        <v>659.0</v>
      </c>
      <c r="B660" s="1">
        <v>220.0</v>
      </c>
      <c r="C660" s="5" t="s">
        <v>663</v>
      </c>
      <c r="D660" s="6">
        <f>IFERROR(__xludf.DUMMYFUNCTION("COUNTA(SPLIT(TRIM(C660),"" ""))"),95.0)</f>
        <v>95</v>
      </c>
      <c r="E660" s="7">
        <f t="shared" si="1"/>
        <v>48</v>
      </c>
      <c r="F660" s="7" t="str">
        <f t="shared" si="2"/>
        <v>659.mp3</v>
      </c>
      <c r="G660" s="8" t="s">
        <v>8</v>
      </c>
    </row>
    <row r="661" ht="14.25" customHeight="1">
      <c r="A661" s="1">
        <v>660.0</v>
      </c>
      <c r="B661" s="1">
        <v>220.0</v>
      </c>
      <c r="C661" s="5" t="s">
        <v>664</v>
      </c>
      <c r="D661" s="6">
        <f>IFERROR(__xludf.DUMMYFUNCTION("COUNTA(SPLIT(TRIM(C661),"" ""))"),142.0)</f>
        <v>142</v>
      </c>
      <c r="E661" s="7">
        <f t="shared" si="1"/>
        <v>71</v>
      </c>
      <c r="F661" s="7" t="str">
        <f t="shared" si="2"/>
        <v>660.mp3</v>
      </c>
      <c r="G661" s="8" t="s">
        <v>8</v>
      </c>
    </row>
    <row r="662" ht="14.25" customHeight="1">
      <c r="A662" s="1">
        <v>661.0</v>
      </c>
      <c r="B662" s="1">
        <v>221.0</v>
      </c>
      <c r="C662" s="5" t="s">
        <v>665</v>
      </c>
      <c r="D662" s="6">
        <f>IFERROR(__xludf.DUMMYFUNCTION("COUNTA(SPLIT(TRIM(C662),"" ""))"),24.0)</f>
        <v>24</v>
      </c>
      <c r="E662" s="7">
        <f t="shared" si="1"/>
        <v>12</v>
      </c>
      <c r="F662" s="7" t="str">
        <f t="shared" si="2"/>
        <v>661.mp3</v>
      </c>
      <c r="G662" s="8" t="s">
        <v>8</v>
      </c>
    </row>
    <row r="663" ht="14.25" customHeight="1">
      <c r="A663" s="1">
        <v>662.0</v>
      </c>
      <c r="B663" s="1">
        <v>221.0</v>
      </c>
      <c r="C663" s="5" t="s">
        <v>666</v>
      </c>
      <c r="D663" s="6">
        <f>IFERROR(__xludf.DUMMYFUNCTION("COUNTA(SPLIT(TRIM(C663),"" ""))"),124.0)</f>
        <v>124</v>
      </c>
      <c r="E663" s="7">
        <f t="shared" si="1"/>
        <v>62</v>
      </c>
      <c r="F663" s="7" t="str">
        <f t="shared" si="2"/>
        <v>662.mp3</v>
      </c>
      <c r="G663" s="8" t="s">
        <v>8</v>
      </c>
    </row>
    <row r="664" ht="14.25" customHeight="1">
      <c r="A664" s="1">
        <v>663.0</v>
      </c>
      <c r="B664" s="1">
        <v>221.0</v>
      </c>
      <c r="C664" s="5" t="s">
        <v>667</v>
      </c>
      <c r="D664" s="6">
        <f>IFERROR(__xludf.DUMMYFUNCTION("COUNTA(SPLIT(TRIM(C664),"" ""))"),156.0)</f>
        <v>156</v>
      </c>
      <c r="E664" s="7">
        <f t="shared" si="1"/>
        <v>78</v>
      </c>
      <c r="F664" s="7" t="str">
        <f t="shared" si="2"/>
        <v>663.mp3</v>
      </c>
      <c r="G664" s="8" t="s">
        <v>8</v>
      </c>
    </row>
    <row r="665" ht="14.25" customHeight="1">
      <c r="A665" s="1">
        <v>664.0</v>
      </c>
      <c r="B665" s="1">
        <v>222.0</v>
      </c>
      <c r="C665" s="5" t="s">
        <v>668</v>
      </c>
      <c r="D665" s="6">
        <f>IFERROR(__xludf.DUMMYFUNCTION("COUNTA(SPLIT(TRIM(C665),"" ""))"),23.0)</f>
        <v>23</v>
      </c>
      <c r="E665" s="7">
        <f t="shared" si="1"/>
        <v>12</v>
      </c>
      <c r="F665" s="7" t="str">
        <f t="shared" si="2"/>
        <v>664.mp3</v>
      </c>
      <c r="G665" s="8" t="s">
        <v>8</v>
      </c>
    </row>
    <row r="666" ht="14.25" customHeight="1">
      <c r="A666" s="1">
        <v>665.0</v>
      </c>
      <c r="B666" s="1">
        <v>222.0</v>
      </c>
      <c r="C666" s="5" t="s">
        <v>669</v>
      </c>
      <c r="D666" s="6">
        <f>IFERROR(__xludf.DUMMYFUNCTION("COUNTA(SPLIT(TRIM(C666),"" ""))"),97.0)</f>
        <v>97</v>
      </c>
      <c r="E666" s="7">
        <f t="shared" si="1"/>
        <v>49</v>
      </c>
      <c r="F666" s="7" t="str">
        <f t="shared" si="2"/>
        <v>665.mp3</v>
      </c>
      <c r="G666" s="8" t="s">
        <v>8</v>
      </c>
    </row>
    <row r="667" ht="14.25" customHeight="1">
      <c r="A667" s="1">
        <v>666.0</v>
      </c>
      <c r="B667" s="1">
        <v>222.0</v>
      </c>
      <c r="C667" s="5" t="s">
        <v>670</v>
      </c>
      <c r="D667" s="6">
        <f>IFERROR(__xludf.DUMMYFUNCTION("COUNTA(SPLIT(TRIM(C667),"" ""))"),153.0)</f>
        <v>153</v>
      </c>
      <c r="E667" s="7">
        <f t="shared" si="1"/>
        <v>77</v>
      </c>
      <c r="F667" s="7" t="str">
        <f t="shared" si="2"/>
        <v>666.mp3</v>
      </c>
      <c r="G667" s="8" t="s">
        <v>8</v>
      </c>
    </row>
    <row r="668" ht="14.25" customHeight="1">
      <c r="A668" s="1">
        <v>667.0</v>
      </c>
      <c r="B668" s="1">
        <v>223.0</v>
      </c>
      <c r="C668" s="5" t="s">
        <v>671</v>
      </c>
      <c r="D668" s="6">
        <f>IFERROR(__xludf.DUMMYFUNCTION("COUNTA(SPLIT(TRIM(C668),"" ""))"),28.0)</f>
        <v>28</v>
      </c>
      <c r="E668" s="7">
        <f t="shared" si="1"/>
        <v>14</v>
      </c>
      <c r="F668" s="7" t="str">
        <f t="shared" si="2"/>
        <v>667.mp3</v>
      </c>
      <c r="G668" s="8" t="s">
        <v>8</v>
      </c>
    </row>
    <row r="669" ht="14.25" customHeight="1">
      <c r="A669" s="1">
        <v>668.0</v>
      </c>
      <c r="B669" s="1">
        <v>223.0</v>
      </c>
      <c r="C669" s="5" t="s">
        <v>672</v>
      </c>
      <c r="D669" s="6">
        <f>IFERROR(__xludf.DUMMYFUNCTION("COUNTA(SPLIT(TRIM(C669),"" ""))"),116.0)</f>
        <v>116</v>
      </c>
      <c r="E669" s="7">
        <f t="shared" si="1"/>
        <v>58</v>
      </c>
      <c r="F669" s="7" t="str">
        <f t="shared" si="2"/>
        <v>668.mp3</v>
      </c>
      <c r="G669" s="8" t="s">
        <v>8</v>
      </c>
    </row>
    <row r="670" ht="14.25" customHeight="1">
      <c r="A670" s="1">
        <v>669.0</v>
      </c>
      <c r="B670" s="1">
        <v>223.0</v>
      </c>
      <c r="C670" s="5" t="s">
        <v>673</v>
      </c>
      <c r="D670" s="6">
        <f>IFERROR(__xludf.DUMMYFUNCTION("COUNTA(SPLIT(TRIM(C670),"" ""))"),159.0)</f>
        <v>159</v>
      </c>
      <c r="E670" s="7">
        <f t="shared" si="1"/>
        <v>80</v>
      </c>
      <c r="F670" s="7" t="str">
        <f t="shared" si="2"/>
        <v>669.mp3</v>
      </c>
      <c r="G670" s="8" t="s">
        <v>8</v>
      </c>
    </row>
    <row r="671" ht="14.25" customHeight="1">
      <c r="A671" s="1">
        <v>670.0</v>
      </c>
      <c r="B671" s="1">
        <v>224.0</v>
      </c>
      <c r="C671" s="5" t="s">
        <v>674</v>
      </c>
      <c r="D671" s="6">
        <f>IFERROR(__xludf.DUMMYFUNCTION("COUNTA(SPLIT(TRIM(C671),"" ""))"),26.0)</f>
        <v>26</v>
      </c>
      <c r="E671" s="7">
        <f t="shared" si="1"/>
        <v>13</v>
      </c>
      <c r="F671" s="7" t="str">
        <f t="shared" si="2"/>
        <v>670.mp3</v>
      </c>
      <c r="G671" s="8" t="s">
        <v>8</v>
      </c>
    </row>
    <row r="672" ht="14.25" customHeight="1">
      <c r="A672" s="1">
        <v>671.0</v>
      </c>
      <c r="B672" s="1">
        <v>224.0</v>
      </c>
      <c r="C672" s="5" t="s">
        <v>675</v>
      </c>
      <c r="D672" s="6">
        <f>IFERROR(__xludf.DUMMYFUNCTION("COUNTA(SPLIT(TRIM(C672),"" ""))"),96.0)</f>
        <v>96</v>
      </c>
      <c r="E672" s="7">
        <f t="shared" si="1"/>
        <v>48</v>
      </c>
      <c r="F672" s="7" t="str">
        <f t="shared" si="2"/>
        <v>671.mp3</v>
      </c>
      <c r="G672" s="8" t="s">
        <v>8</v>
      </c>
    </row>
    <row r="673" ht="14.25" customHeight="1">
      <c r="A673" s="1">
        <v>672.0</v>
      </c>
      <c r="B673" s="1">
        <v>224.0</v>
      </c>
      <c r="C673" s="5" t="s">
        <v>676</v>
      </c>
      <c r="D673" s="6">
        <f>IFERROR(__xludf.DUMMYFUNCTION("COUNTA(SPLIT(TRIM(C673),"" ""))"),146.0)</f>
        <v>146</v>
      </c>
      <c r="E673" s="7">
        <f t="shared" si="1"/>
        <v>73</v>
      </c>
      <c r="F673" s="7" t="str">
        <f t="shared" si="2"/>
        <v>672.mp3</v>
      </c>
      <c r="G673" s="8" t="s">
        <v>8</v>
      </c>
    </row>
    <row r="674" ht="14.25" customHeight="1">
      <c r="A674" s="1">
        <v>673.0</v>
      </c>
      <c r="B674" s="1">
        <v>225.0</v>
      </c>
      <c r="C674" s="5" t="s">
        <v>677</v>
      </c>
      <c r="D674" s="6">
        <f>IFERROR(__xludf.DUMMYFUNCTION("COUNTA(SPLIT(TRIM(C674),"" ""))"),28.0)</f>
        <v>28</v>
      </c>
      <c r="E674" s="7">
        <f t="shared" si="1"/>
        <v>14</v>
      </c>
      <c r="F674" s="7" t="str">
        <f t="shared" si="2"/>
        <v>673.mp3</v>
      </c>
      <c r="G674" s="8" t="s">
        <v>8</v>
      </c>
    </row>
    <row r="675" ht="14.25" customHeight="1">
      <c r="A675" s="1">
        <v>674.0</v>
      </c>
      <c r="B675" s="1">
        <v>225.0</v>
      </c>
      <c r="C675" s="5" t="s">
        <v>678</v>
      </c>
      <c r="D675" s="6">
        <f>IFERROR(__xludf.DUMMYFUNCTION("COUNTA(SPLIT(TRIM(C675),"" ""))"),111.0)</f>
        <v>111</v>
      </c>
      <c r="E675" s="7">
        <f t="shared" si="1"/>
        <v>56</v>
      </c>
      <c r="F675" s="7" t="str">
        <f t="shared" si="2"/>
        <v>674.mp3</v>
      </c>
      <c r="G675" s="8" t="s">
        <v>8</v>
      </c>
    </row>
    <row r="676" ht="14.25" customHeight="1">
      <c r="A676" s="1">
        <v>675.0</v>
      </c>
      <c r="B676" s="1">
        <v>225.0</v>
      </c>
      <c r="C676" s="5" t="s">
        <v>679</v>
      </c>
      <c r="D676" s="6">
        <f>IFERROR(__xludf.DUMMYFUNCTION("COUNTA(SPLIT(TRIM(C676),"" ""))"),146.0)</f>
        <v>146</v>
      </c>
      <c r="E676" s="7">
        <f t="shared" si="1"/>
        <v>73</v>
      </c>
      <c r="F676" s="7" t="str">
        <f t="shared" si="2"/>
        <v>675.mp3</v>
      </c>
      <c r="G676" s="8" t="s">
        <v>8</v>
      </c>
    </row>
    <row r="677" ht="14.25" customHeight="1">
      <c r="A677" s="1">
        <v>676.0</v>
      </c>
      <c r="B677" s="1">
        <v>226.0</v>
      </c>
      <c r="C677" s="5" t="s">
        <v>680</v>
      </c>
      <c r="D677" s="6">
        <f>IFERROR(__xludf.DUMMYFUNCTION("COUNTA(SPLIT(TRIM(C677),"" ""))"),24.0)</f>
        <v>24</v>
      </c>
      <c r="E677" s="7">
        <f t="shared" si="1"/>
        <v>12</v>
      </c>
      <c r="F677" s="7" t="str">
        <f t="shared" si="2"/>
        <v>676.mp3</v>
      </c>
      <c r="G677" s="8" t="s">
        <v>8</v>
      </c>
    </row>
    <row r="678" ht="14.25" customHeight="1">
      <c r="A678" s="1">
        <v>677.0</v>
      </c>
      <c r="B678" s="1">
        <v>226.0</v>
      </c>
      <c r="C678" s="5" t="s">
        <v>681</v>
      </c>
      <c r="D678" s="6">
        <f>IFERROR(__xludf.DUMMYFUNCTION("COUNTA(SPLIT(TRIM(C678),"" ""))"),113.0)</f>
        <v>113</v>
      </c>
      <c r="E678" s="7">
        <f t="shared" si="1"/>
        <v>57</v>
      </c>
      <c r="F678" s="7" t="str">
        <f t="shared" si="2"/>
        <v>677.mp3</v>
      </c>
      <c r="G678" s="8" t="s">
        <v>8</v>
      </c>
    </row>
    <row r="679" ht="14.25" customHeight="1">
      <c r="A679" s="1">
        <v>678.0</v>
      </c>
      <c r="B679" s="1">
        <v>226.0</v>
      </c>
      <c r="C679" s="5" t="s">
        <v>682</v>
      </c>
      <c r="D679" s="6">
        <f>IFERROR(__xludf.DUMMYFUNCTION("COUNTA(SPLIT(TRIM(C679),"" ""))"),167.0)</f>
        <v>167</v>
      </c>
      <c r="E679" s="7">
        <f t="shared" si="1"/>
        <v>84</v>
      </c>
      <c r="F679" s="7" t="str">
        <f t="shared" si="2"/>
        <v>678.mp3</v>
      </c>
      <c r="G679" s="8" t="s">
        <v>8</v>
      </c>
    </row>
    <row r="680" ht="14.25" customHeight="1">
      <c r="A680" s="1">
        <v>679.0</v>
      </c>
      <c r="B680" s="1">
        <v>227.0</v>
      </c>
      <c r="C680" s="5" t="s">
        <v>683</v>
      </c>
      <c r="D680" s="6">
        <f>IFERROR(__xludf.DUMMYFUNCTION("COUNTA(SPLIT(TRIM(C680),"" ""))"),26.0)</f>
        <v>26</v>
      </c>
      <c r="E680" s="7">
        <f t="shared" si="1"/>
        <v>13</v>
      </c>
      <c r="F680" s="7" t="str">
        <f t="shared" si="2"/>
        <v>679.mp3</v>
      </c>
      <c r="G680" s="8" t="s">
        <v>8</v>
      </c>
    </row>
    <row r="681" ht="14.25" customHeight="1">
      <c r="A681" s="1">
        <v>680.0</v>
      </c>
      <c r="B681" s="1">
        <v>227.0</v>
      </c>
      <c r="C681" s="5" t="s">
        <v>684</v>
      </c>
      <c r="D681" s="6">
        <f>IFERROR(__xludf.DUMMYFUNCTION("COUNTA(SPLIT(TRIM(C681),"" ""))"),85.0)</f>
        <v>85</v>
      </c>
      <c r="E681" s="7">
        <f t="shared" si="1"/>
        <v>43</v>
      </c>
      <c r="F681" s="7" t="str">
        <f t="shared" si="2"/>
        <v>680.mp3</v>
      </c>
      <c r="G681" s="8" t="s">
        <v>8</v>
      </c>
    </row>
    <row r="682" ht="14.25" customHeight="1">
      <c r="A682" s="1">
        <v>681.0</v>
      </c>
      <c r="B682" s="1">
        <v>227.0</v>
      </c>
      <c r="C682" s="5" t="s">
        <v>685</v>
      </c>
      <c r="D682" s="6">
        <f>IFERROR(__xludf.DUMMYFUNCTION("COUNTA(SPLIT(TRIM(C682),"" ""))"),176.0)</f>
        <v>176</v>
      </c>
      <c r="E682" s="7">
        <f t="shared" si="1"/>
        <v>88</v>
      </c>
      <c r="F682" s="7" t="str">
        <f t="shared" si="2"/>
        <v>681.mp3</v>
      </c>
      <c r="G682" s="8" t="s">
        <v>8</v>
      </c>
    </row>
    <row r="683" ht="14.25" customHeight="1">
      <c r="A683" s="1">
        <v>682.0</v>
      </c>
      <c r="B683" s="1">
        <v>228.0</v>
      </c>
      <c r="C683" s="5" t="s">
        <v>686</v>
      </c>
      <c r="D683" s="6">
        <f>IFERROR(__xludf.DUMMYFUNCTION("COUNTA(SPLIT(TRIM(C683),"" ""))"),24.0)</f>
        <v>24</v>
      </c>
      <c r="E683" s="7">
        <f t="shared" si="1"/>
        <v>12</v>
      </c>
      <c r="F683" s="7" t="str">
        <f t="shared" si="2"/>
        <v>682.mp3</v>
      </c>
      <c r="G683" s="8" t="s">
        <v>8</v>
      </c>
    </row>
    <row r="684" ht="14.25" customHeight="1">
      <c r="A684" s="1">
        <v>683.0</v>
      </c>
      <c r="B684" s="1">
        <v>228.0</v>
      </c>
      <c r="C684" s="5" t="s">
        <v>687</v>
      </c>
      <c r="D684" s="6">
        <f>IFERROR(__xludf.DUMMYFUNCTION("COUNTA(SPLIT(TRIM(C684),"" ""))"),96.0)</f>
        <v>96</v>
      </c>
      <c r="E684" s="7">
        <f t="shared" si="1"/>
        <v>48</v>
      </c>
      <c r="F684" s="7" t="str">
        <f t="shared" si="2"/>
        <v>683.mp3</v>
      </c>
      <c r="G684" s="8" t="s">
        <v>8</v>
      </c>
    </row>
    <row r="685" ht="14.25" customHeight="1">
      <c r="A685" s="1">
        <v>684.0</v>
      </c>
      <c r="B685" s="1">
        <v>228.0</v>
      </c>
      <c r="C685" s="5" t="s">
        <v>688</v>
      </c>
      <c r="D685" s="6">
        <f>IFERROR(__xludf.DUMMYFUNCTION("COUNTA(SPLIT(TRIM(C685),"" ""))"),185.0)</f>
        <v>185</v>
      </c>
      <c r="E685" s="7">
        <f t="shared" si="1"/>
        <v>93</v>
      </c>
      <c r="F685" s="7" t="str">
        <f t="shared" si="2"/>
        <v>684.mp3</v>
      </c>
      <c r="G685" s="8" t="s">
        <v>8</v>
      </c>
    </row>
    <row r="686" ht="14.25" customHeight="1">
      <c r="A686" s="1">
        <v>685.0</v>
      </c>
      <c r="B686" s="1">
        <v>229.0</v>
      </c>
      <c r="C686" s="5" t="s">
        <v>689</v>
      </c>
      <c r="D686" s="6">
        <f>IFERROR(__xludf.DUMMYFUNCTION("COUNTA(SPLIT(TRIM(C686),"" ""))"),27.0)</f>
        <v>27</v>
      </c>
      <c r="E686" s="7">
        <f t="shared" si="1"/>
        <v>14</v>
      </c>
      <c r="F686" s="7" t="str">
        <f t="shared" si="2"/>
        <v>685.mp3</v>
      </c>
      <c r="G686" s="8" t="s">
        <v>8</v>
      </c>
    </row>
    <row r="687" ht="14.25" customHeight="1">
      <c r="A687" s="1">
        <v>686.0</v>
      </c>
      <c r="B687" s="1">
        <v>229.0</v>
      </c>
      <c r="C687" s="5" t="s">
        <v>690</v>
      </c>
      <c r="D687" s="6">
        <f>IFERROR(__xludf.DUMMYFUNCTION("COUNTA(SPLIT(TRIM(C687),"" ""))"),106.0)</f>
        <v>106</v>
      </c>
      <c r="E687" s="7">
        <f t="shared" si="1"/>
        <v>53</v>
      </c>
      <c r="F687" s="7" t="str">
        <f t="shared" si="2"/>
        <v>686.mp3</v>
      </c>
      <c r="G687" s="8" t="s">
        <v>8</v>
      </c>
    </row>
    <row r="688" ht="14.25" customHeight="1">
      <c r="A688" s="1">
        <v>687.0</v>
      </c>
      <c r="B688" s="1">
        <v>229.0</v>
      </c>
      <c r="C688" s="5" t="s">
        <v>691</v>
      </c>
      <c r="D688" s="6">
        <f>IFERROR(__xludf.DUMMYFUNCTION("COUNTA(SPLIT(TRIM(C688),"" ""))"),170.0)</f>
        <v>170</v>
      </c>
      <c r="E688" s="7">
        <f t="shared" si="1"/>
        <v>85</v>
      </c>
      <c r="F688" s="7" t="str">
        <f t="shared" si="2"/>
        <v>687.mp3</v>
      </c>
      <c r="G688" s="8" t="s">
        <v>8</v>
      </c>
    </row>
    <row r="689" ht="14.25" customHeight="1">
      <c r="A689" s="1">
        <v>688.0</v>
      </c>
      <c r="B689" s="1">
        <v>230.0</v>
      </c>
      <c r="C689" s="5" t="s">
        <v>692</v>
      </c>
      <c r="D689" s="6">
        <f>IFERROR(__xludf.DUMMYFUNCTION("COUNTA(SPLIT(TRIM(C689),"" ""))"),26.0)</f>
        <v>26</v>
      </c>
      <c r="E689" s="7">
        <f t="shared" si="1"/>
        <v>13</v>
      </c>
      <c r="F689" s="7" t="str">
        <f t="shared" si="2"/>
        <v>688.mp3</v>
      </c>
      <c r="G689" s="8" t="s">
        <v>8</v>
      </c>
    </row>
    <row r="690" ht="14.25" customHeight="1">
      <c r="A690" s="1">
        <v>689.0</v>
      </c>
      <c r="B690" s="1">
        <v>230.0</v>
      </c>
      <c r="C690" s="5" t="s">
        <v>693</v>
      </c>
      <c r="D690" s="6">
        <f>IFERROR(__xludf.DUMMYFUNCTION("COUNTA(SPLIT(TRIM(C690),"" ""))"),88.0)</f>
        <v>88</v>
      </c>
      <c r="E690" s="7">
        <f t="shared" si="1"/>
        <v>44</v>
      </c>
      <c r="F690" s="7" t="str">
        <f t="shared" si="2"/>
        <v>689.mp3</v>
      </c>
      <c r="G690" s="8" t="s">
        <v>8</v>
      </c>
    </row>
    <row r="691" ht="14.25" customHeight="1">
      <c r="A691" s="1">
        <v>690.0</v>
      </c>
      <c r="B691" s="1">
        <v>230.0</v>
      </c>
      <c r="C691" s="5" t="s">
        <v>694</v>
      </c>
      <c r="D691" s="6">
        <f>IFERROR(__xludf.DUMMYFUNCTION("COUNTA(SPLIT(TRIM(C691),"" ""))"),155.0)</f>
        <v>155</v>
      </c>
      <c r="E691" s="7">
        <f t="shared" si="1"/>
        <v>78</v>
      </c>
      <c r="F691" s="7" t="str">
        <f t="shared" si="2"/>
        <v>690.mp3</v>
      </c>
      <c r="G691" s="8" t="s">
        <v>8</v>
      </c>
    </row>
    <row r="692" ht="14.25" customHeight="1">
      <c r="A692" s="1">
        <v>691.0</v>
      </c>
      <c r="B692" s="1">
        <v>231.0</v>
      </c>
      <c r="C692" s="5" t="s">
        <v>695</v>
      </c>
      <c r="D692" s="6">
        <f>IFERROR(__xludf.DUMMYFUNCTION("COUNTA(SPLIT(TRIM(C692),"" ""))"),26.0)</f>
        <v>26</v>
      </c>
      <c r="E692" s="7">
        <f t="shared" si="1"/>
        <v>13</v>
      </c>
      <c r="F692" s="7" t="str">
        <f t="shared" si="2"/>
        <v>691.mp3</v>
      </c>
      <c r="G692" s="8" t="s">
        <v>8</v>
      </c>
    </row>
    <row r="693" ht="14.25" customHeight="1">
      <c r="A693" s="1">
        <v>692.0</v>
      </c>
      <c r="B693" s="1">
        <v>231.0</v>
      </c>
      <c r="C693" s="5" t="s">
        <v>696</v>
      </c>
      <c r="D693" s="6">
        <f>IFERROR(__xludf.DUMMYFUNCTION("COUNTA(SPLIT(TRIM(C693),"" ""))"),81.0)</f>
        <v>81</v>
      </c>
      <c r="E693" s="7">
        <f t="shared" si="1"/>
        <v>41</v>
      </c>
      <c r="F693" s="7" t="str">
        <f t="shared" si="2"/>
        <v>692.mp3</v>
      </c>
      <c r="G693" s="8" t="s">
        <v>8</v>
      </c>
    </row>
    <row r="694" ht="14.25" customHeight="1">
      <c r="A694" s="1">
        <v>693.0</v>
      </c>
      <c r="B694" s="1">
        <v>231.0</v>
      </c>
      <c r="C694" s="5" t="s">
        <v>697</v>
      </c>
      <c r="D694" s="6">
        <f>IFERROR(__xludf.DUMMYFUNCTION("COUNTA(SPLIT(TRIM(C694),"" ""))"),168.0)</f>
        <v>168</v>
      </c>
      <c r="E694" s="7">
        <f t="shared" si="1"/>
        <v>84</v>
      </c>
      <c r="F694" s="7" t="str">
        <f t="shared" si="2"/>
        <v>693.mp3</v>
      </c>
      <c r="G694" s="8" t="s">
        <v>8</v>
      </c>
    </row>
    <row r="695" ht="14.25" customHeight="1">
      <c r="A695" s="1">
        <v>694.0</v>
      </c>
      <c r="B695" s="1">
        <v>232.0</v>
      </c>
      <c r="C695" s="5" t="s">
        <v>698</v>
      </c>
      <c r="D695" s="6">
        <f>IFERROR(__xludf.DUMMYFUNCTION("COUNTA(SPLIT(TRIM(C695),"" ""))"),29.0)</f>
        <v>29</v>
      </c>
      <c r="E695" s="7">
        <f t="shared" si="1"/>
        <v>15</v>
      </c>
      <c r="F695" s="7" t="str">
        <f t="shared" si="2"/>
        <v>694.mp3</v>
      </c>
      <c r="G695" s="8" t="s">
        <v>8</v>
      </c>
    </row>
    <row r="696" ht="14.25" customHeight="1">
      <c r="A696" s="1">
        <v>695.0</v>
      </c>
      <c r="B696" s="1">
        <v>232.0</v>
      </c>
      <c r="C696" s="5" t="s">
        <v>699</v>
      </c>
      <c r="D696" s="6">
        <f>IFERROR(__xludf.DUMMYFUNCTION("COUNTA(SPLIT(TRIM(C696),"" ""))"),88.0)</f>
        <v>88</v>
      </c>
      <c r="E696" s="7">
        <f t="shared" si="1"/>
        <v>44</v>
      </c>
      <c r="F696" s="7" t="str">
        <f t="shared" si="2"/>
        <v>695.mp3</v>
      </c>
      <c r="G696" s="8" t="s">
        <v>8</v>
      </c>
    </row>
    <row r="697" ht="14.25" customHeight="1">
      <c r="A697" s="1">
        <v>696.0</v>
      </c>
      <c r="B697" s="1">
        <v>232.0</v>
      </c>
      <c r="C697" s="5" t="s">
        <v>700</v>
      </c>
      <c r="D697" s="6">
        <f>IFERROR(__xludf.DUMMYFUNCTION("COUNTA(SPLIT(TRIM(C697),"" ""))"),148.0)</f>
        <v>148</v>
      </c>
      <c r="E697" s="7">
        <f t="shared" si="1"/>
        <v>74</v>
      </c>
      <c r="F697" s="7" t="str">
        <f t="shared" si="2"/>
        <v>696.mp3</v>
      </c>
      <c r="G697" s="8" t="s">
        <v>8</v>
      </c>
    </row>
    <row r="698" ht="14.25" customHeight="1">
      <c r="A698" s="1">
        <v>697.0</v>
      </c>
      <c r="B698" s="1">
        <v>233.0</v>
      </c>
      <c r="C698" s="5" t="s">
        <v>701</v>
      </c>
      <c r="D698" s="6">
        <f>IFERROR(__xludf.DUMMYFUNCTION("COUNTA(SPLIT(TRIM(C698),"" ""))"),22.0)</f>
        <v>22</v>
      </c>
      <c r="E698" s="7">
        <f t="shared" si="1"/>
        <v>11</v>
      </c>
      <c r="F698" s="7" t="str">
        <f t="shared" si="2"/>
        <v>697.mp3</v>
      </c>
      <c r="G698" s="8" t="s">
        <v>8</v>
      </c>
    </row>
    <row r="699" ht="14.25" customHeight="1">
      <c r="A699" s="1">
        <v>698.0</v>
      </c>
      <c r="B699" s="1">
        <v>233.0</v>
      </c>
      <c r="C699" s="5" t="s">
        <v>702</v>
      </c>
      <c r="D699" s="6">
        <f>IFERROR(__xludf.DUMMYFUNCTION("COUNTA(SPLIT(TRIM(C699),"" ""))"),77.0)</f>
        <v>77</v>
      </c>
      <c r="E699" s="7">
        <f t="shared" si="1"/>
        <v>39</v>
      </c>
      <c r="F699" s="7" t="str">
        <f t="shared" si="2"/>
        <v>698.mp3</v>
      </c>
      <c r="G699" s="8" t="s">
        <v>8</v>
      </c>
    </row>
    <row r="700" ht="14.25" customHeight="1">
      <c r="A700" s="1">
        <v>699.0</v>
      </c>
      <c r="B700" s="1">
        <v>233.0</v>
      </c>
      <c r="C700" s="5" t="s">
        <v>703</v>
      </c>
      <c r="D700" s="6">
        <f>IFERROR(__xludf.DUMMYFUNCTION("COUNTA(SPLIT(TRIM(C700),"" ""))"),151.0)</f>
        <v>151</v>
      </c>
      <c r="E700" s="7">
        <f t="shared" si="1"/>
        <v>76</v>
      </c>
      <c r="F700" s="7" t="str">
        <f t="shared" si="2"/>
        <v>699.mp3</v>
      </c>
      <c r="G700" s="8" t="s">
        <v>8</v>
      </c>
    </row>
    <row r="701" ht="14.25" customHeight="1">
      <c r="A701" s="1">
        <v>700.0</v>
      </c>
      <c r="B701" s="1">
        <v>234.0</v>
      </c>
      <c r="C701" s="5" t="s">
        <v>704</v>
      </c>
      <c r="D701" s="6">
        <f>IFERROR(__xludf.DUMMYFUNCTION("COUNTA(SPLIT(TRIM(C701),"" ""))"),25.0)</f>
        <v>25</v>
      </c>
      <c r="E701" s="7">
        <f t="shared" si="1"/>
        <v>13</v>
      </c>
      <c r="F701" s="7" t="str">
        <f t="shared" si="2"/>
        <v>700.mp3</v>
      </c>
      <c r="G701" s="8" t="s">
        <v>8</v>
      </c>
    </row>
    <row r="702" ht="14.25" customHeight="1">
      <c r="A702" s="1">
        <v>701.0</v>
      </c>
      <c r="B702" s="1">
        <v>234.0</v>
      </c>
      <c r="C702" s="5" t="s">
        <v>705</v>
      </c>
      <c r="D702" s="6">
        <f>IFERROR(__xludf.DUMMYFUNCTION("COUNTA(SPLIT(TRIM(C702),"" ""))"),105.0)</f>
        <v>105</v>
      </c>
      <c r="E702" s="7">
        <f t="shared" si="1"/>
        <v>53</v>
      </c>
      <c r="F702" s="7" t="str">
        <f t="shared" si="2"/>
        <v>701.mp3</v>
      </c>
      <c r="G702" s="8" t="s">
        <v>8</v>
      </c>
    </row>
    <row r="703" ht="14.25" customHeight="1">
      <c r="A703" s="1">
        <v>702.0</v>
      </c>
      <c r="B703" s="1">
        <v>234.0</v>
      </c>
      <c r="C703" s="5" t="s">
        <v>706</v>
      </c>
      <c r="D703" s="6">
        <f>IFERROR(__xludf.DUMMYFUNCTION("COUNTA(SPLIT(TRIM(C703),"" ""))"),141.0)</f>
        <v>141</v>
      </c>
      <c r="E703" s="7">
        <f t="shared" si="1"/>
        <v>71</v>
      </c>
      <c r="F703" s="7" t="str">
        <f t="shared" si="2"/>
        <v>702.mp3</v>
      </c>
      <c r="G703" s="8" t="s">
        <v>8</v>
      </c>
    </row>
    <row r="704" ht="14.25" customHeight="1">
      <c r="A704" s="1">
        <v>703.0</v>
      </c>
      <c r="B704" s="1">
        <v>235.0</v>
      </c>
      <c r="C704" s="5" t="s">
        <v>707</v>
      </c>
      <c r="D704" s="6">
        <f>IFERROR(__xludf.DUMMYFUNCTION("COUNTA(SPLIT(TRIM(C704),"" ""))"),26.0)</f>
        <v>26</v>
      </c>
      <c r="E704" s="7">
        <f t="shared" si="1"/>
        <v>13</v>
      </c>
      <c r="F704" s="7" t="str">
        <f t="shared" si="2"/>
        <v>703.mp3</v>
      </c>
      <c r="G704" s="8" t="s">
        <v>8</v>
      </c>
    </row>
    <row r="705" ht="14.25" customHeight="1">
      <c r="A705" s="1">
        <v>704.0</v>
      </c>
      <c r="B705" s="1">
        <v>235.0</v>
      </c>
      <c r="C705" s="5" t="s">
        <v>708</v>
      </c>
      <c r="D705" s="6">
        <f>IFERROR(__xludf.DUMMYFUNCTION("COUNTA(SPLIT(TRIM(C705),"" ""))"),89.0)</f>
        <v>89</v>
      </c>
      <c r="E705" s="7">
        <f t="shared" si="1"/>
        <v>45</v>
      </c>
      <c r="F705" s="7" t="str">
        <f t="shared" si="2"/>
        <v>704.mp3</v>
      </c>
      <c r="G705" s="8" t="s">
        <v>8</v>
      </c>
    </row>
    <row r="706" ht="14.25" customHeight="1">
      <c r="A706" s="1">
        <v>705.0</v>
      </c>
      <c r="B706" s="1">
        <v>235.0</v>
      </c>
      <c r="C706" s="5" t="s">
        <v>709</v>
      </c>
      <c r="D706" s="6">
        <f>IFERROR(__xludf.DUMMYFUNCTION("COUNTA(SPLIT(TRIM(C706),"" ""))"),147.0)</f>
        <v>147</v>
      </c>
      <c r="E706" s="7">
        <f t="shared" si="1"/>
        <v>74</v>
      </c>
      <c r="F706" s="7" t="str">
        <f t="shared" si="2"/>
        <v>705.mp3</v>
      </c>
      <c r="G706" s="8" t="s">
        <v>8</v>
      </c>
    </row>
    <row r="707" ht="14.25" customHeight="1">
      <c r="A707" s="1">
        <v>706.0</v>
      </c>
      <c r="B707" s="1">
        <v>236.0</v>
      </c>
      <c r="C707" s="5" t="s">
        <v>710</v>
      </c>
      <c r="D707" s="6">
        <f>IFERROR(__xludf.DUMMYFUNCTION("COUNTA(SPLIT(TRIM(C707),"" ""))"),26.0)</f>
        <v>26</v>
      </c>
      <c r="E707" s="7">
        <f t="shared" si="1"/>
        <v>13</v>
      </c>
      <c r="F707" s="7" t="str">
        <f t="shared" si="2"/>
        <v>706.mp3</v>
      </c>
      <c r="G707" s="8" t="s">
        <v>8</v>
      </c>
    </row>
    <row r="708" ht="14.25" customHeight="1">
      <c r="A708" s="1">
        <v>707.0</v>
      </c>
      <c r="B708" s="1">
        <v>236.0</v>
      </c>
      <c r="C708" s="5" t="s">
        <v>711</v>
      </c>
      <c r="D708" s="6">
        <f>IFERROR(__xludf.DUMMYFUNCTION("COUNTA(SPLIT(TRIM(C708),"" ""))"),89.0)</f>
        <v>89</v>
      </c>
      <c r="E708" s="7">
        <f t="shared" si="1"/>
        <v>45</v>
      </c>
      <c r="F708" s="7" t="str">
        <f t="shared" si="2"/>
        <v>707.mp3</v>
      </c>
      <c r="G708" s="8" t="s">
        <v>8</v>
      </c>
    </row>
    <row r="709" ht="14.25" customHeight="1">
      <c r="A709" s="1">
        <v>708.0</v>
      </c>
      <c r="B709" s="1">
        <v>236.0</v>
      </c>
      <c r="C709" s="5" t="s">
        <v>712</v>
      </c>
      <c r="D709" s="6">
        <f>IFERROR(__xludf.DUMMYFUNCTION("COUNTA(SPLIT(TRIM(C709),"" ""))"),161.0)</f>
        <v>161</v>
      </c>
      <c r="E709" s="7">
        <f t="shared" si="1"/>
        <v>81</v>
      </c>
      <c r="F709" s="7" t="str">
        <f t="shared" si="2"/>
        <v>708.mp3</v>
      </c>
      <c r="G709" s="8" t="s">
        <v>8</v>
      </c>
    </row>
    <row r="710" ht="14.25" customHeight="1">
      <c r="A710" s="1">
        <v>709.0</v>
      </c>
      <c r="B710" s="1">
        <v>237.0</v>
      </c>
      <c r="C710" s="5" t="s">
        <v>713</v>
      </c>
      <c r="D710" s="6">
        <f>IFERROR(__xludf.DUMMYFUNCTION("COUNTA(SPLIT(TRIM(C710),"" ""))"),27.0)</f>
        <v>27</v>
      </c>
      <c r="E710" s="7">
        <f t="shared" si="1"/>
        <v>14</v>
      </c>
      <c r="F710" s="7" t="str">
        <f t="shared" si="2"/>
        <v>709.mp3</v>
      </c>
      <c r="G710" s="8" t="s">
        <v>8</v>
      </c>
    </row>
    <row r="711" ht="14.25" customHeight="1">
      <c r="A711" s="1">
        <v>710.0</v>
      </c>
      <c r="B711" s="1">
        <v>237.0</v>
      </c>
      <c r="C711" s="5" t="s">
        <v>714</v>
      </c>
      <c r="D711" s="6">
        <f>IFERROR(__xludf.DUMMYFUNCTION("COUNTA(SPLIT(TRIM(C711),"" ""))"),98.0)</f>
        <v>98</v>
      </c>
      <c r="E711" s="7">
        <f t="shared" si="1"/>
        <v>49</v>
      </c>
      <c r="F711" s="7" t="str">
        <f t="shared" si="2"/>
        <v>710.mp3</v>
      </c>
      <c r="G711" s="8" t="s">
        <v>8</v>
      </c>
    </row>
    <row r="712" ht="14.25" customHeight="1">
      <c r="A712" s="1">
        <v>711.0</v>
      </c>
      <c r="B712" s="1">
        <v>237.0</v>
      </c>
      <c r="C712" s="5" t="s">
        <v>715</v>
      </c>
      <c r="D712" s="6">
        <f>IFERROR(__xludf.DUMMYFUNCTION("COUNTA(SPLIT(TRIM(C712),"" ""))"),170.0)</f>
        <v>170</v>
      </c>
      <c r="E712" s="7">
        <f t="shared" si="1"/>
        <v>85</v>
      </c>
      <c r="F712" s="7" t="str">
        <f t="shared" si="2"/>
        <v>711.mp3</v>
      </c>
      <c r="G712" s="8" t="s">
        <v>8</v>
      </c>
    </row>
    <row r="713" ht="14.25" customHeight="1">
      <c r="A713" s="1">
        <v>712.0</v>
      </c>
      <c r="B713" s="1">
        <v>238.0</v>
      </c>
      <c r="C713" s="5" t="s">
        <v>716</v>
      </c>
      <c r="D713" s="6">
        <f>IFERROR(__xludf.DUMMYFUNCTION("COUNTA(SPLIT(TRIM(C713),"" ""))"),26.0)</f>
        <v>26</v>
      </c>
      <c r="E713" s="7">
        <f t="shared" si="1"/>
        <v>13</v>
      </c>
      <c r="F713" s="7" t="str">
        <f t="shared" si="2"/>
        <v>712.mp3</v>
      </c>
      <c r="G713" s="8" t="s">
        <v>8</v>
      </c>
    </row>
    <row r="714" ht="14.25" customHeight="1">
      <c r="A714" s="1">
        <v>713.0</v>
      </c>
      <c r="B714" s="1">
        <v>238.0</v>
      </c>
      <c r="C714" s="5" t="s">
        <v>717</v>
      </c>
      <c r="D714" s="6">
        <f>IFERROR(__xludf.DUMMYFUNCTION("COUNTA(SPLIT(TRIM(C714),"" ""))"),97.0)</f>
        <v>97</v>
      </c>
      <c r="E714" s="7">
        <f t="shared" si="1"/>
        <v>49</v>
      </c>
      <c r="F714" s="7" t="str">
        <f t="shared" si="2"/>
        <v>713.mp3</v>
      </c>
      <c r="G714" s="8" t="s">
        <v>8</v>
      </c>
    </row>
    <row r="715" ht="14.25" customHeight="1">
      <c r="A715" s="1">
        <v>714.0</v>
      </c>
      <c r="B715" s="1">
        <v>238.0</v>
      </c>
      <c r="C715" s="5" t="s">
        <v>718</v>
      </c>
      <c r="D715" s="6">
        <f>IFERROR(__xludf.DUMMYFUNCTION("COUNTA(SPLIT(TRIM(C715),"" ""))"),154.0)</f>
        <v>154</v>
      </c>
      <c r="E715" s="7">
        <f t="shared" si="1"/>
        <v>77</v>
      </c>
      <c r="F715" s="7" t="str">
        <f t="shared" si="2"/>
        <v>714.mp3</v>
      </c>
      <c r="G715" s="8" t="s">
        <v>8</v>
      </c>
    </row>
    <row r="716" ht="14.25" customHeight="1">
      <c r="A716" s="1">
        <v>715.0</v>
      </c>
      <c r="B716" s="1">
        <v>239.0</v>
      </c>
      <c r="C716" s="5" t="s">
        <v>719</v>
      </c>
      <c r="D716" s="6">
        <f>IFERROR(__xludf.DUMMYFUNCTION("COUNTA(SPLIT(TRIM(C716),"" ""))"),26.0)</f>
        <v>26</v>
      </c>
      <c r="E716" s="7">
        <f t="shared" si="1"/>
        <v>13</v>
      </c>
      <c r="F716" s="7" t="str">
        <f t="shared" si="2"/>
        <v>715.mp3</v>
      </c>
      <c r="G716" s="8" t="s">
        <v>8</v>
      </c>
    </row>
    <row r="717" ht="14.25" customHeight="1">
      <c r="A717" s="1">
        <v>716.0</v>
      </c>
      <c r="B717" s="1">
        <v>239.0</v>
      </c>
      <c r="C717" s="5" t="s">
        <v>720</v>
      </c>
      <c r="D717" s="6">
        <f>IFERROR(__xludf.DUMMYFUNCTION("COUNTA(SPLIT(TRIM(C717),"" ""))"),101.0)</f>
        <v>101</v>
      </c>
      <c r="E717" s="7">
        <f t="shared" si="1"/>
        <v>51</v>
      </c>
      <c r="F717" s="7" t="str">
        <f t="shared" si="2"/>
        <v>716.mp3</v>
      </c>
      <c r="G717" s="8" t="s">
        <v>8</v>
      </c>
    </row>
    <row r="718" ht="14.25" customHeight="1">
      <c r="A718" s="1">
        <v>717.0</v>
      </c>
      <c r="B718" s="1">
        <v>239.0</v>
      </c>
      <c r="C718" s="5" t="s">
        <v>721</v>
      </c>
      <c r="D718" s="6">
        <f>IFERROR(__xludf.DUMMYFUNCTION("COUNTA(SPLIT(TRIM(C718),"" ""))"),161.0)</f>
        <v>161</v>
      </c>
      <c r="E718" s="7">
        <f t="shared" si="1"/>
        <v>81</v>
      </c>
      <c r="F718" s="7" t="str">
        <f t="shared" si="2"/>
        <v>717.mp3</v>
      </c>
      <c r="G718" s="8" t="s">
        <v>8</v>
      </c>
    </row>
    <row r="719" ht="14.25" customHeight="1">
      <c r="A719" s="1">
        <v>718.0</v>
      </c>
      <c r="B719" s="1">
        <v>240.0</v>
      </c>
      <c r="C719" s="5" t="s">
        <v>722</v>
      </c>
      <c r="D719" s="6">
        <f>IFERROR(__xludf.DUMMYFUNCTION("COUNTA(SPLIT(TRIM(C719),"" ""))"),24.0)</f>
        <v>24</v>
      </c>
      <c r="E719" s="7">
        <f t="shared" si="1"/>
        <v>12</v>
      </c>
      <c r="F719" s="7" t="str">
        <f t="shared" si="2"/>
        <v>718.mp3</v>
      </c>
      <c r="G719" s="8" t="s">
        <v>8</v>
      </c>
    </row>
    <row r="720" ht="14.25" customHeight="1">
      <c r="A720" s="1">
        <v>719.0</v>
      </c>
      <c r="B720" s="1">
        <v>240.0</v>
      </c>
      <c r="C720" s="5" t="s">
        <v>723</v>
      </c>
      <c r="D720" s="6">
        <f>IFERROR(__xludf.DUMMYFUNCTION("COUNTA(SPLIT(TRIM(C720),"" ""))"),96.0)</f>
        <v>96</v>
      </c>
      <c r="E720" s="7">
        <f t="shared" si="1"/>
        <v>48</v>
      </c>
      <c r="F720" s="7" t="str">
        <f t="shared" si="2"/>
        <v>719.mp3</v>
      </c>
      <c r="G720" s="8" t="s">
        <v>8</v>
      </c>
    </row>
    <row r="721" ht="14.25" customHeight="1">
      <c r="A721" s="1">
        <v>720.0</v>
      </c>
      <c r="B721" s="1">
        <v>240.0</v>
      </c>
      <c r="C721" s="5" t="s">
        <v>724</v>
      </c>
      <c r="D721" s="6">
        <f>IFERROR(__xludf.DUMMYFUNCTION("COUNTA(SPLIT(TRIM(C721),"" ""))"),155.0)</f>
        <v>155</v>
      </c>
      <c r="E721" s="7">
        <f t="shared" si="1"/>
        <v>78</v>
      </c>
      <c r="F721" s="7" t="str">
        <f t="shared" si="2"/>
        <v>720.mp3</v>
      </c>
      <c r="G721" s="8" t="s">
        <v>8</v>
      </c>
    </row>
    <row r="722" ht="14.25" customHeight="1">
      <c r="A722" s="1">
        <v>721.0</v>
      </c>
      <c r="B722" s="1">
        <v>241.0</v>
      </c>
      <c r="C722" s="5" t="s">
        <v>725</v>
      </c>
      <c r="D722" s="6">
        <f>IFERROR(__xludf.DUMMYFUNCTION("COUNTA(SPLIT(TRIM(C722),"" ""))"),29.0)</f>
        <v>29</v>
      </c>
      <c r="E722" s="7">
        <f t="shared" si="1"/>
        <v>15</v>
      </c>
      <c r="F722" s="7" t="str">
        <f t="shared" si="2"/>
        <v>721.mp3</v>
      </c>
      <c r="G722" s="8" t="s">
        <v>8</v>
      </c>
    </row>
    <row r="723" ht="14.25" customHeight="1">
      <c r="A723" s="1">
        <v>722.0</v>
      </c>
      <c r="B723" s="1">
        <v>241.0</v>
      </c>
      <c r="C723" s="5" t="s">
        <v>726</v>
      </c>
      <c r="D723" s="6">
        <f>IFERROR(__xludf.DUMMYFUNCTION("COUNTA(SPLIT(TRIM(C723),"" ""))"),87.0)</f>
        <v>87</v>
      </c>
      <c r="E723" s="7">
        <f t="shared" si="1"/>
        <v>44</v>
      </c>
      <c r="F723" s="7" t="str">
        <f t="shared" si="2"/>
        <v>722.mp3</v>
      </c>
      <c r="G723" s="8" t="s">
        <v>8</v>
      </c>
    </row>
    <row r="724" ht="14.25" customHeight="1">
      <c r="A724" s="1">
        <v>723.0</v>
      </c>
      <c r="B724" s="1">
        <v>241.0</v>
      </c>
      <c r="C724" s="5" t="s">
        <v>727</v>
      </c>
      <c r="D724" s="6">
        <f>IFERROR(__xludf.DUMMYFUNCTION("COUNTA(SPLIT(TRIM(C724),"" ""))"),164.0)</f>
        <v>164</v>
      </c>
      <c r="E724" s="7">
        <f t="shared" si="1"/>
        <v>82</v>
      </c>
      <c r="F724" s="7" t="str">
        <f t="shared" si="2"/>
        <v>723.mp3</v>
      </c>
      <c r="G724" s="8" t="s">
        <v>8</v>
      </c>
    </row>
    <row r="725" ht="14.25" customHeight="1">
      <c r="A725" s="1">
        <v>724.0</v>
      </c>
      <c r="B725" s="1">
        <v>242.0</v>
      </c>
      <c r="C725" s="5" t="s">
        <v>728</v>
      </c>
      <c r="D725" s="6">
        <f>IFERROR(__xludf.DUMMYFUNCTION("COUNTA(SPLIT(TRIM(C725),"" ""))"),32.0)</f>
        <v>32</v>
      </c>
      <c r="E725" s="7">
        <f t="shared" si="1"/>
        <v>16</v>
      </c>
      <c r="F725" s="7" t="str">
        <f t="shared" si="2"/>
        <v>724.mp3</v>
      </c>
      <c r="G725" s="8" t="s">
        <v>8</v>
      </c>
    </row>
    <row r="726" ht="14.25" customHeight="1">
      <c r="A726" s="1">
        <v>725.0</v>
      </c>
      <c r="B726" s="1">
        <v>242.0</v>
      </c>
      <c r="C726" s="5" t="s">
        <v>729</v>
      </c>
      <c r="D726" s="6">
        <f>IFERROR(__xludf.DUMMYFUNCTION("COUNTA(SPLIT(TRIM(C726),"" ""))"),109.0)</f>
        <v>109</v>
      </c>
      <c r="E726" s="7">
        <f t="shared" si="1"/>
        <v>55</v>
      </c>
      <c r="F726" s="7" t="str">
        <f t="shared" si="2"/>
        <v>725.mp3</v>
      </c>
      <c r="G726" s="8" t="s">
        <v>8</v>
      </c>
    </row>
    <row r="727" ht="14.25" customHeight="1">
      <c r="A727" s="1">
        <v>726.0</v>
      </c>
      <c r="B727" s="1">
        <v>242.0</v>
      </c>
      <c r="C727" s="5" t="s">
        <v>730</v>
      </c>
      <c r="D727" s="6">
        <f>IFERROR(__xludf.DUMMYFUNCTION("COUNTA(SPLIT(TRIM(C727),"" ""))"),160.0)</f>
        <v>160</v>
      </c>
      <c r="E727" s="7">
        <f t="shared" si="1"/>
        <v>80</v>
      </c>
      <c r="F727" s="7" t="str">
        <f t="shared" si="2"/>
        <v>726.mp3</v>
      </c>
      <c r="G727" s="8" t="s">
        <v>8</v>
      </c>
    </row>
    <row r="728" ht="14.25" customHeight="1">
      <c r="A728" s="1">
        <v>727.0</v>
      </c>
      <c r="B728" s="1">
        <v>243.0</v>
      </c>
      <c r="C728" s="5" t="s">
        <v>731</v>
      </c>
      <c r="D728" s="6">
        <f>IFERROR(__xludf.DUMMYFUNCTION("COUNTA(SPLIT(TRIM(C728),"" ""))"),29.0)</f>
        <v>29</v>
      </c>
      <c r="E728" s="7">
        <f t="shared" si="1"/>
        <v>15</v>
      </c>
      <c r="F728" s="7" t="str">
        <f t="shared" si="2"/>
        <v>727.mp3</v>
      </c>
      <c r="G728" s="8" t="s">
        <v>8</v>
      </c>
    </row>
    <row r="729" ht="14.25" customHeight="1">
      <c r="A729" s="1">
        <v>728.0</v>
      </c>
      <c r="B729" s="1">
        <v>243.0</v>
      </c>
      <c r="C729" s="5" t="s">
        <v>732</v>
      </c>
      <c r="D729" s="6">
        <f>IFERROR(__xludf.DUMMYFUNCTION("COUNTA(SPLIT(TRIM(C729),"" ""))"),114.0)</f>
        <v>114</v>
      </c>
      <c r="E729" s="7">
        <f t="shared" si="1"/>
        <v>57</v>
      </c>
      <c r="F729" s="7" t="str">
        <f t="shared" si="2"/>
        <v>728.mp3</v>
      </c>
      <c r="G729" s="8" t="s">
        <v>8</v>
      </c>
    </row>
    <row r="730" ht="14.25" customHeight="1">
      <c r="A730" s="1">
        <v>729.0</v>
      </c>
      <c r="B730" s="1">
        <v>243.0</v>
      </c>
      <c r="C730" s="5" t="s">
        <v>733</v>
      </c>
      <c r="D730" s="6">
        <f>IFERROR(__xludf.DUMMYFUNCTION("COUNTA(SPLIT(TRIM(C730),"" ""))"),169.0)</f>
        <v>169</v>
      </c>
      <c r="E730" s="7">
        <f t="shared" si="1"/>
        <v>85</v>
      </c>
      <c r="F730" s="7" t="str">
        <f t="shared" si="2"/>
        <v>729.mp3</v>
      </c>
      <c r="G730" s="8" t="s">
        <v>8</v>
      </c>
    </row>
    <row r="731" ht="14.25" customHeight="1">
      <c r="A731" s="1">
        <v>730.0</v>
      </c>
      <c r="B731" s="1">
        <v>244.0</v>
      </c>
      <c r="C731" s="5" t="s">
        <v>734</v>
      </c>
      <c r="D731" s="6">
        <f>IFERROR(__xludf.DUMMYFUNCTION("COUNTA(SPLIT(TRIM(C731),"" ""))"),23.0)</f>
        <v>23</v>
      </c>
      <c r="E731" s="7">
        <f t="shared" si="1"/>
        <v>12</v>
      </c>
      <c r="F731" s="7" t="str">
        <f t="shared" si="2"/>
        <v>730.mp3</v>
      </c>
      <c r="G731" s="8" t="s">
        <v>8</v>
      </c>
    </row>
    <row r="732" ht="14.25" customHeight="1">
      <c r="A732" s="1">
        <v>731.0</v>
      </c>
      <c r="B732" s="1">
        <v>244.0</v>
      </c>
      <c r="C732" s="5" t="s">
        <v>735</v>
      </c>
      <c r="D732" s="6">
        <f>IFERROR(__xludf.DUMMYFUNCTION("COUNTA(SPLIT(TRIM(C732),"" ""))"),75.0)</f>
        <v>75</v>
      </c>
      <c r="E732" s="7">
        <f t="shared" si="1"/>
        <v>38</v>
      </c>
      <c r="F732" s="7" t="str">
        <f t="shared" si="2"/>
        <v>731.mp3</v>
      </c>
      <c r="G732" s="8" t="s">
        <v>8</v>
      </c>
    </row>
    <row r="733" ht="14.25" customHeight="1">
      <c r="A733" s="1">
        <v>732.0</v>
      </c>
      <c r="B733" s="1">
        <v>244.0</v>
      </c>
      <c r="C733" s="5" t="s">
        <v>736</v>
      </c>
      <c r="D733" s="6">
        <f>IFERROR(__xludf.DUMMYFUNCTION("COUNTA(SPLIT(TRIM(C733),"" ""))"),168.0)</f>
        <v>168</v>
      </c>
      <c r="E733" s="7">
        <f t="shared" si="1"/>
        <v>84</v>
      </c>
      <c r="F733" s="7" t="str">
        <f t="shared" si="2"/>
        <v>732.mp3</v>
      </c>
      <c r="G733" s="8" t="s">
        <v>8</v>
      </c>
    </row>
    <row r="734" ht="14.25" customHeight="1">
      <c r="A734" s="1">
        <v>733.0</v>
      </c>
      <c r="B734" s="1">
        <v>245.0</v>
      </c>
      <c r="C734" s="5" t="s">
        <v>737</v>
      </c>
      <c r="D734" s="6">
        <f>IFERROR(__xludf.DUMMYFUNCTION("COUNTA(SPLIT(TRIM(C734),"" ""))"),25.0)</f>
        <v>25</v>
      </c>
      <c r="E734" s="7">
        <f t="shared" si="1"/>
        <v>13</v>
      </c>
      <c r="F734" s="7" t="str">
        <f t="shared" si="2"/>
        <v>733.mp3</v>
      </c>
      <c r="G734" s="8" t="s">
        <v>8</v>
      </c>
    </row>
    <row r="735" ht="14.25" customHeight="1">
      <c r="A735" s="1">
        <v>734.0</v>
      </c>
      <c r="B735" s="1">
        <v>245.0</v>
      </c>
      <c r="C735" s="5" t="s">
        <v>738</v>
      </c>
      <c r="D735" s="6">
        <f>IFERROR(__xludf.DUMMYFUNCTION("COUNTA(SPLIT(TRIM(C735),"" ""))"),96.0)</f>
        <v>96</v>
      </c>
      <c r="E735" s="7">
        <f t="shared" si="1"/>
        <v>48</v>
      </c>
      <c r="F735" s="7" t="str">
        <f t="shared" si="2"/>
        <v>734.mp3</v>
      </c>
      <c r="G735" s="8" t="s">
        <v>8</v>
      </c>
    </row>
    <row r="736" ht="14.25" customHeight="1">
      <c r="A736" s="1">
        <v>735.0</v>
      </c>
      <c r="B736" s="1">
        <v>245.0</v>
      </c>
      <c r="C736" s="5" t="s">
        <v>739</v>
      </c>
      <c r="D736" s="6">
        <f>IFERROR(__xludf.DUMMYFUNCTION("COUNTA(SPLIT(TRIM(C736),"" ""))"),177.0)</f>
        <v>177</v>
      </c>
      <c r="E736" s="7">
        <f t="shared" si="1"/>
        <v>89</v>
      </c>
      <c r="F736" s="7" t="str">
        <f t="shared" si="2"/>
        <v>735.mp3</v>
      </c>
      <c r="G736" s="8" t="s">
        <v>8</v>
      </c>
    </row>
    <row r="737" ht="14.25" customHeight="1">
      <c r="A737" s="1">
        <v>736.0</v>
      </c>
      <c r="B737" s="1">
        <v>246.0</v>
      </c>
      <c r="C737" s="5" t="s">
        <v>740</v>
      </c>
      <c r="D737" s="6">
        <f>IFERROR(__xludf.DUMMYFUNCTION("COUNTA(SPLIT(TRIM(C737),"" ""))"),23.0)</f>
        <v>23</v>
      </c>
      <c r="E737" s="7">
        <f t="shared" si="1"/>
        <v>12</v>
      </c>
      <c r="F737" s="7" t="str">
        <f t="shared" si="2"/>
        <v>736.mp3</v>
      </c>
      <c r="G737" s="8" t="s">
        <v>8</v>
      </c>
    </row>
    <row r="738" ht="14.25" customHeight="1">
      <c r="A738" s="1">
        <v>737.0</v>
      </c>
      <c r="B738" s="1">
        <v>246.0</v>
      </c>
      <c r="C738" s="5" t="s">
        <v>741</v>
      </c>
      <c r="D738" s="6">
        <f>IFERROR(__xludf.DUMMYFUNCTION("COUNTA(SPLIT(TRIM(C738),"" ""))"),86.0)</f>
        <v>86</v>
      </c>
      <c r="E738" s="7">
        <f t="shared" si="1"/>
        <v>43</v>
      </c>
      <c r="F738" s="7" t="str">
        <f t="shared" si="2"/>
        <v>737.mp3</v>
      </c>
      <c r="G738" s="8" t="s">
        <v>8</v>
      </c>
    </row>
    <row r="739" ht="14.25" customHeight="1">
      <c r="A739" s="1">
        <v>738.0</v>
      </c>
      <c r="B739" s="1">
        <v>246.0</v>
      </c>
      <c r="C739" s="5" t="s">
        <v>742</v>
      </c>
      <c r="D739" s="6">
        <f>IFERROR(__xludf.DUMMYFUNCTION("COUNTA(SPLIT(TRIM(C739),"" ""))"),166.0)</f>
        <v>166</v>
      </c>
      <c r="E739" s="7">
        <f t="shared" si="1"/>
        <v>83</v>
      </c>
      <c r="F739" s="7" t="str">
        <f t="shared" si="2"/>
        <v>738.mp3</v>
      </c>
      <c r="G739" s="8" t="s">
        <v>8</v>
      </c>
    </row>
    <row r="740" ht="14.25" customHeight="1">
      <c r="A740" s="1">
        <v>739.0</v>
      </c>
      <c r="B740" s="1">
        <v>247.0</v>
      </c>
      <c r="C740" s="5" t="s">
        <v>743</v>
      </c>
      <c r="D740" s="6">
        <f>IFERROR(__xludf.DUMMYFUNCTION("COUNTA(SPLIT(TRIM(C740),"" ""))"),28.0)</f>
        <v>28</v>
      </c>
      <c r="E740" s="7">
        <f t="shared" si="1"/>
        <v>14</v>
      </c>
      <c r="F740" s="7" t="str">
        <f t="shared" si="2"/>
        <v>739.mp3</v>
      </c>
      <c r="G740" s="8" t="s">
        <v>8</v>
      </c>
    </row>
    <row r="741" ht="14.25" customHeight="1">
      <c r="A741" s="1">
        <v>740.0</v>
      </c>
      <c r="B741" s="1">
        <v>247.0</v>
      </c>
      <c r="C741" s="5" t="s">
        <v>744</v>
      </c>
      <c r="D741" s="6">
        <f>IFERROR(__xludf.DUMMYFUNCTION("COUNTA(SPLIT(TRIM(C741),"" ""))"),101.0)</f>
        <v>101</v>
      </c>
      <c r="E741" s="7">
        <f t="shared" si="1"/>
        <v>51</v>
      </c>
      <c r="F741" s="7" t="str">
        <f t="shared" si="2"/>
        <v>740.mp3</v>
      </c>
      <c r="G741" s="8" t="s">
        <v>8</v>
      </c>
    </row>
    <row r="742" ht="14.25" customHeight="1">
      <c r="A742" s="1">
        <v>741.0</v>
      </c>
      <c r="B742" s="1">
        <v>247.0</v>
      </c>
      <c r="C742" s="5" t="s">
        <v>745</v>
      </c>
      <c r="D742" s="6">
        <f>IFERROR(__xludf.DUMMYFUNCTION("COUNTA(SPLIT(TRIM(C742),"" ""))"),144.0)</f>
        <v>144</v>
      </c>
      <c r="E742" s="7">
        <f t="shared" si="1"/>
        <v>72</v>
      </c>
      <c r="F742" s="7" t="str">
        <f t="shared" si="2"/>
        <v>741.mp3</v>
      </c>
      <c r="G742" s="8" t="s">
        <v>8</v>
      </c>
    </row>
    <row r="743" ht="14.25" customHeight="1">
      <c r="A743" s="1">
        <v>742.0</v>
      </c>
      <c r="B743" s="1">
        <v>248.0</v>
      </c>
      <c r="C743" s="5" t="s">
        <v>746</v>
      </c>
      <c r="D743" s="6">
        <f>IFERROR(__xludf.DUMMYFUNCTION("COUNTA(SPLIT(TRIM(C743),"" ""))"),33.0)</f>
        <v>33</v>
      </c>
      <c r="E743" s="7">
        <f t="shared" si="1"/>
        <v>17</v>
      </c>
      <c r="F743" s="7" t="str">
        <f t="shared" si="2"/>
        <v>742.mp3</v>
      </c>
      <c r="G743" s="8" t="s">
        <v>8</v>
      </c>
    </row>
    <row r="744" ht="14.25" customHeight="1">
      <c r="A744" s="1">
        <v>743.0</v>
      </c>
      <c r="B744" s="1">
        <v>248.0</v>
      </c>
      <c r="C744" s="5" t="s">
        <v>747</v>
      </c>
      <c r="D744" s="6">
        <f>IFERROR(__xludf.DUMMYFUNCTION("COUNTA(SPLIT(TRIM(C744),"" ""))"),93.0)</f>
        <v>93</v>
      </c>
      <c r="E744" s="7">
        <f t="shared" si="1"/>
        <v>47</v>
      </c>
      <c r="F744" s="7" t="str">
        <f t="shared" si="2"/>
        <v>743.mp3</v>
      </c>
      <c r="G744" s="8" t="s">
        <v>8</v>
      </c>
    </row>
    <row r="745" ht="14.25" customHeight="1">
      <c r="A745" s="1">
        <v>744.0</v>
      </c>
      <c r="B745" s="1">
        <v>248.0</v>
      </c>
      <c r="C745" s="5" t="s">
        <v>748</v>
      </c>
      <c r="D745" s="6">
        <f>IFERROR(__xludf.DUMMYFUNCTION("COUNTA(SPLIT(TRIM(C745),"" ""))"),171.0)</f>
        <v>171</v>
      </c>
      <c r="E745" s="7">
        <f t="shared" si="1"/>
        <v>86</v>
      </c>
      <c r="F745" s="7" t="str">
        <f t="shared" si="2"/>
        <v>744.mp3</v>
      </c>
      <c r="G745" s="8" t="s">
        <v>8</v>
      </c>
    </row>
    <row r="746" ht="14.25" customHeight="1">
      <c r="A746" s="1">
        <v>745.0</v>
      </c>
      <c r="B746" s="1">
        <v>249.0</v>
      </c>
      <c r="C746" s="5" t="s">
        <v>749</v>
      </c>
      <c r="D746" s="6">
        <f>IFERROR(__xludf.DUMMYFUNCTION("COUNTA(SPLIT(TRIM(C746),"" ""))"),30.0)</f>
        <v>30</v>
      </c>
      <c r="E746" s="7">
        <f t="shared" si="1"/>
        <v>15</v>
      </c>
      <c r="F746" s="7" t="str">
        <f t="shared" si="2"/>
        <v>745.mp3</v>
      </c>
      <c r="G746" s="8" t="s">
        <v>8</v>
      </c>
    </row>
    <row r="747" ht="14.25" customHeight="1">
      <c r="A747" s="1">
        <v>746.0</v>
      </c>
      <c r="B747" s="1">
        <v>249.0</v>
      </c>
      <c r="C747" s="5" t="s">
        <v>750</v>
      </c>
      <c r="D747" s="6">
        <f>IFERROR(__xludf.DUMMYFUNCTION("COUNTA(SPLIT(TRIM(C747),"" ""))"),100.0)</f>
        <v>100</v>
      </c>
      <c r="E747" s="7">
        <f t="shared" si="1"/>
        <v>50</v>
      </c>
      <c r="F747" s="7" t="str">
        <f t="shared" si="2"/>
        <v>746.mp3</v>
      </c>
      <c r="G747" s="8" t="s">
        <v>8</v>
      </c>
    </row>
    <row r="748" ht="14.25" customHeight="1">
      <c r="A748" s="1">
        <v>747.0</v>
      </c>
      <c r="B748" s="1">
        <v>249.0</v>
      </c>
      <c r="C748" s="5" t="s">
        <v>751</v>
      </c>
      <c r="D748" s="6">
        <f>IFERROR(__xludf.DUMMYFUNCTION("COUNTA(SPLIT(TRIM(C748),"" ""))"),163.0)</f>
        <v>163</v>
      </c>
      <c r="E748" s="7">
        <f t="shared" si="1"/>
        <v>82</v>
      </c>
      <c r="F748" s="7" t="str">
        <f t="shared" si="2"/>
        <v>747.mp3</v>
      </c>
      <c r="G748" s="8" t="s">
        <v>8</v>
      </c>
    </row>
    <row r="749" ht="14.25" customHeight="1">
      <c r="A749" s="1">
        <v>748.0</v>
      </c>
      <c r="B749" s="1">
        <v>250.0</v>
      </c>
      <c r="C749" s="5" t="s">
        <v>752</v>
      </c>
      <c r="D749" s="6">
        <f>IFERROR(__xludf.DUMMYFUNCTION("COUNTA(SPLIT(TRIM(C749),"" ""))"),23.0)</f>
        <v>23</v>
      </c>
      <c r="E749" s="7">
        <f t="shared" si="1"/>
        <v>12</v>
      </c>
      <c r="F749" s="7" t="str">
        <f t="shared" si="2"/>
        <v>748.mp3</v>
      </c>
      <c r="G749" s="8" t="s">
        <v>8</v>
      </c>
    </row>
    <row r="750" ht="14.25" customHeight="1">
      <c r="A750" s="1">
        <v>749.0</v>
      </c>
      <c r="B750" s="1">
        <v>250.0</v>
      </c>
      <c r="C750" s="5" t="s">
        <v>753</v>
      </c>
      <c r="D750" s="6">
        <f>IFERROR(__xludf.DUMMYFUNCTION("COUNTA(SPLIT(TRIM(C750),"" ""))"),98.0)</f>
        <v>98</v>
      </c>
      <c r="E750" s="7">
        <f t="shared" si="1"/>
        <v>49</v>
      </c>
      <c r="F750" s="7" t="str">
        <f t="shared" si="2"/>
        <v>749.mp3</v>
      </c>
      <c r="G750" s="8" t="s">
        <v>8</v>
      </c>
    </row>
    <row r="751" ht="14.25" customHeight="1">
      <c r="A751" s="1">
        <v>750.0</v>
      </c>
      <c r="B751" s="1">
        <v>250.0</v>
      </c>
      <c r="C751" s="5" t="s">
        <v>754</v>
      </c>
      <c r="D751" s="6">
        <f>IFERROR(__xludf.DUMMYFUNCTION("COUNTA(SPLIT(TRIM(C751),"" ""))"),204.0)</f>
        <v>204</v>
      </c>
      <c r="E751" s="7">
        <f t="shared" si="1"/>
        <v>102</v>
      </c>
      <c r="F751" s="7" t="str">
        <f t="shared" si="2"/>
        <v>750.mp3</v>
      </c>
      <c r="G751" s="8" t="s">
        <v>8</v>
      </c>
    </row>
    <row r="752" ht="14.25" customHeight="1">
      <c r="A752" s="1">
        <v>751.0</v>
      </c>
      <c r="B752" s="1">
        <v>251.0</v>
      </c>
      <c r="C752" s="5" t="s">
        <v>755</v>
      </c>
      <c r="D752" s="6">
        <f>IFERROR(__xludf.DUMMYFUNCTION("COUNTA(SPLIT(TRIM(C752),"" ""))"),27.0)</f>
        <v>27</v>
      </c>
      <c r="E752" s="7">
        <f t="shared" si="1"/>
        <v>14</v>
      </c>
      <c r="F752" s="7" t="str">
        <f t="shared" si="2"/>
        <v>751.mp3</v>
      </c>
      <c r="G752" s="8" t="s">
        <v>8</v>
      </c>
    </row>
    <row r="753" ht="14.25" customHeight="1">
      <c r="A753" s="1">
        <v>752.0</v>
      </c>
      <c r="B753" s="1">
        <v>251.0</v>
      </c>
      <c r="C753" s="5" t="s">
        <v>756</v>
      </c>
      <c r="D753" s="6">
        <f>IFERROR(__xludf.DUMMYFUNCTION("COUNTA(SPLIT(TRIM(C753),"" ""))"),86.0)</f>
        <v>86</v>
      </c>
      <c r="E753" s="7">
        <f t="shared" si="1"/>
        <v>43</v>
      </c>
      <c r="F753" s="7" t="str">
        <f t="shared" si="2"/>
        <v>752.mp3</v>
      </c>
      <c r="G753" s="8" t="s">
        <v>8</v>
      </c>
    </row>
    <row r="754" ht="14.25" customHeight="1">
      <c r="A754" s="1">
        <v>753.0</v>
      </c>
      <c r="B754" s="1">
        <v>251.0</v>
      </c>
      <c r="C754" s="5" t="s">
        <v>757</v>
      </c>
      <c r="D754" s="6">
        <f>IFERROR(__xludf.DUMMYFUNCTION("COUNTA(SPLIT(TRIM(C754),"" ""))"),163.0)</f>
        <v>163</v>
      </c>
      <c r="E754" s="7">
        <f t="shared" si="1"/>
        <v>82</v>
      </c>
      <c r="F754" s="7" t="str">
        <f t="shared" si="2"/>
        <v>753.mp3</v>
      </c>
      <c r="G754" s="8" t="s">
        <v>8</v>
      </c>
    </row>
    <row r="755" ht="14.25" customHeight="1">
      <c r="A755" s="1">
        <v>754.0</v>
      </c>
      <c r="B755" s="1">
        <v>252.0</v>
      </c>
      <c r="C755" s="5" t="s">
        <v>758</v>
      </c>
      <c r="D755" s="6">
        <f>IFERROR(__xludf.DUMMYFUNCTION("COUNTA(SPLIT(TRIM(C755),"" ""))"),28.0)</f>
        <v>28</v>
      </c>
      <c r="E755" s="7">
        <f t="shared" si="1"/>
        <v>14</v>
      </c>
      <c r="F755" s="7" t="str">
        <f t="shared" si="2"/>
        <v>754.mp3</v>
      </c>
      <c r="G755" s="8" t="s">
        <v>8</v>
      </c>
    </row>
    <row r="756" ht="14.25" customHeight="1">
      <c r="A756" s="1">
        <v>755.0</v>
      </c>
      <c r="B756" s="1">
        <v>252.0</v>
      </c>
      <c r="C756" s="5" t="s">
        <v>759</v>
      </c>
      <c r="D756" s="6">
        <f>IFERROR(__xludf.DUMMYFUNCTION("COUNTA(SPLIT(TRIM(C756),"" ""))"),119.0)</f>
        <v>119</v>
      </c>
      <c r="E756" s="7">
        <f t="shared" si="1"/>
        <v>60</v>
      </c>
      <c r="F756" s="7" t="str">
        <f t="shared" si="2"/>
        <v>755.mp3</v>
      </c>
      <c r="G756" s="8" t="s">
        <v>8</v>
      </c>
    </row>
    <row r="757" ht="14.25" customHeight="1">
      <c r="A757" s="1">
        <v>756.0</v>
      </c>
      <c r="B757" s="1">
        <v>252.0</v>
      </c>
      <c r="C757" s="5" t="s">
        <v>760</v>
      </c>
      <c r="D757" s="6">
        <f>IFERROR(__xludf.DUMMYFUNCTION("COUNTA(SPLIT(TRIM(C757),"" ""))"),165.0)</f>
        <v>165</v>
      </c>
      <c r="E757" s="7">
        <f t="shared" si="1"/>
        <v>83</v>
      </c>
      <c r="F757" s="7" t="str">
        <f t="shared" si="2"/>
        <v>756.mp3</v>
      </c>
      <c r="G757" s="8" t="s">
        <v>8</v>
      </c>
    </row>
    <row r="758" ht="14.25" customHeight="1">
      <c r="A758" s="1">
        <v>757.0</v>
      </c>
      <c r="B758" s="1">
        <v>253.0</v>
      </c>
      <c r="C758" s="5" t="s">
        <v>761</v>
      </c>
      <c r="D758" s="6">
        <f>IFERROR(__xludf.DUMMYFUNCTION("COUNTA(SPLIT(TRIM(C758),"" ""))"),26.0)</f>
        <v>26</v>
      </c>
      <c r="E758" s="7">
        <f t="shared" si="1"/>
        <v>13</v>
      </c>
      <c r="F758" s="7" t="str">
        <f t="shared" si="2"/>
        <v>757.mp3</v>
      </c>
      <c r="G758" s="8" t="s">
        <v>8</v>
      </c>
    </row>
    <row r="759" ht="14.25" customHeight="1">
      <c r="A759" s="1">
        <v>758.0</v>
      </c>
      <c r="B759" s="1">
        <v>253.0</v>
      </c>
      <c r="C759" s="5" t="s">
        <v>762</v>
      </c>
      <c r="D759" s="6">
        <f>IFERROR(__xludf.DUMMYFUNCTION("COUNTA(SPLIT(TRIM(C759),"" ""))"),108.0)</f>
        <v>108</v>
      </c>
      <c r="E759" s="7">
        <f t="shared" si="1"/>
        <v>54</v>
      </c>
      <c r="F759" s="7" t="str">
        <f t="shared" si="2"/>
        <v>758.mp3</v>
      </c>
      <c r="G759" s="8" t="s">
        <v>8</v>
      </c>
    </row>
    <row r="760" ht="14.25" customHeight="1">
      <c r="A760" s="1">
        <v>759.0</v>
      </c>
      <c r="B760" s="1">
        <v>253.0</v>
      </c>
      <c r="C760" s="5" t="s">
        <v>763</v>
      </c>
      <c r="D760" s="6">
        <f>IFERROR(__xludf.DUMMYFUNCTION("COUNTA(SPLIT(TRIM(C760),"" ""))"),168.0)</f>
        <v>168</v>
      </c>
      <c r="E760" s="7">
        <f t="shared" si="1"/>
        <v>84</v>
      </c>
      <c r="F760" s="7" t="str">
        <f t="shared" si="2"/>
        <v>759.mp3</v>
      </c>
      <c r="G760" s="8" t="s">
        <v>8</v>
      </c>
    </row>
    <row r="761" ht="14.25" customHeight="1">
      <c r="A761" s="1">
        <v>760.0</v>
      </c>
      <c r="B761" s="1">
        <v>254.0</v>
      </c>
      <c r="C761" s="5" t="s">
        <v>764</v>
      </c>
      <c r="D761" s="6">
        <f>IFERROR(__xludf.DUMMYFUNCTION("COUNTA(SPLIT(TRIM(C761),"" ""))"),29.0)</f>
        <v>29</v>
      </c>
      <c r="E761" s="7">
        <f t="shared" si="1"/>
        <v>15</v>
      </c>
      <c r="F761" s="7" t="str">
        <f t="shared" si="2"/>
        <v>760.mp3</v>
      </c>
      <c r="G761" s="8" t="s">
        <v>8</v>
      </c>
    </row>
    <row r="762" ht="14.25" customHeight="1">
      <c r="A762" s="1">
        <v>761.0</v>
      </c>
      <c r="B762" s="1">
        <v>254.0</v>
      </c>
      <c r="C762" s="5" t="s">
        <v>765</v>
      </c>
      <c r="D762" s="6">
        <f>IFERROR(__xludf.DUMMYFUNCTION("COUNTA(SPLIT(TRIM(C762),"" ""))"),114.0)</f>
        <v>114</v>
      </c>
      <c r="E762" s="7">
        <f t="shared" si="1"/>
        <v>57</v>
      </c>
      <c r="F762" s="7" t="str">
        <f t="shared" si="2"/>
        <v>761.mp3</v>
      </c>
      <c r="G762" s="8" t="s">
        <v>8</v>
      </c>
    </row>
    <row r="763" ht="14.25" customHeight="1">
      <c r="A763" s="1">
        <v>762.0</v>
      </c>
      <c r="B763" s="1">
        <v>254.0</v>
      </c>
      <c r="C763" s="5" t="s">
        <v>766</v>
      </c>
      <c r="D763" s="6">
        <f>IFERROR(__xludf.DUMMYFUNCTION("COUNTA(SPLIT(TRIM(C763),"" ""))"),174.0)</f>
        <v>174</v>
      </c>
      <c r="E763" s="7">
        <f t="shared" si="1"/>
        <v>87</v>
      </c>
      <c r="F763" s="7" t="str">
        <f t="shared" si="2"/>
        <v>762.mp3</v>
      </c>
      <c r="G763" s="8" t="s">
        <v>8</v>
      </c>
    </row>
    <row r="764" ht="14.25" customHeight="1">
      <c r="A764" s="1">
        <v>763.0</v>
      </c>
      <c r="B764" s="1">
        <v>255.0</v>
      </c>
      <c r="C764" s="5" t="s">
        <v>767</v>
      </c>
      <c r="D764" s="6">
        <f>IFERROR(__xludf.DUMMYFUNCTION("COUNTA(SPLIT(TRIM(C764),"" ""))"),29.0)</f>
        <v>29</v>
      </c>
      <c r="E764" s="7">
        <f t="shared" si="1"/>
        <v>15</v>
      </c>
      <c r="F764" s="7" t="str">
        <f t="shared" si="2"/>
        <v>763.mp3</v>
      </c>
      <c r="G764" s="8" t="s">
        <v>8</v>
      </c>
    </row>
    <row r="765" ht="14.25" customHeight="1">
      <c r="A765" s="1">
        <v>764.0</v>
      </c>
      <c r="B765" s="1">
        <v>255.0</v>
      </c>
      <c r="C765" s="5" t="s">
        <v>768</v>
      </c>
      <c r="D765" s="6">
        <f>IFERROR(__xludf.DUMMYFUNCTION("COUNTA(SPLIT(TRIM(C765),"" ""))"),106.0)</f>
        <v>106</v>
      </c>
      <c r="E765" s="7">
        <f t="shared" si="1"/>
        <v>53</v>
      </c>
      <c r="F765" s="7" t="str">
        <f t="shared" si="2"/>
        <v>764.mp3</v>
      </c>
      <c r="G765" s="8" t="s">
        <v>8</v>
      </c>
    </row>
    <row r="766" ht="14.25" customHeight="1">
      <c r="A766" s="1">
        <v>765.0</v>
      </c>
      <c r="B766" s="1">
        <v>255.0</v>
      </c>
      <c r="C766" s="5" t="s">
        <v>769</v>
      </c>
      <c r="D766" s="6">
        <f>IFERROR(__xludf.DUMMYFUNCTION("COUNTA(SPLIT(TRIM(C766),"" ""))"),169.0)</f>
        <v>169</v>
      </c>
      <c r="E766" s="7">
        <f t="shared" si="1"/>
        <v>85</v>
      </c>
      <c r="F766" s="7" t="str">
        <f t="shared" si="2"/>
        <v>765.mp3</v>
      </c>
      <c r="G766" s="8" t="s">
        <v>8</v>
      </c>
    </row>
    <row r="767" ht="14.25" customHeight="1">
      <c r="A767" s="1">
        <v>766.0</v>
      </c>
      <c r="B767" s="1">
        <v>256.0</v>
      </c>
      <c r="C767" s="5" t="s">
        <v>770</v>
      </c>
      <c r="D767" s="6">
        <f>IFERROR(__xludf.DUMMYFUNCTION("COUNTA(SPLIT(TRIM(C767),"" ""))"),27.0)</f>
        <v>27</v>
      </c>
      <c r="E767" s="7">
        <f t="shared" si="1"/>
        <v>14</v>
      </c>
      <c r="F767" s="7" t="str">
        <f t="shared" si="2"/>
        <v>766.mp3</v>
      </c>
      <c r="G767" s="8" t="s">
        <v>8</v>
      </c>
    </row>
    <row r="768" ht="14.25" customHeight="1">
      <c r="A768" s="1">
        <v>767.0</v>
      </c>
      <c r="B768" s="1">
        <v>256.0</v>
      </c>
      <c r="C768" s="5" t="s">
        <v>771</v>
      </c>
      <c r="D768" s="6">
        <f>IFERROR(__xludf.DUMMYFUNCTION("COUNTA(SPLIT(TRIM(C768),"" ""))"),88.0)</f>
        <v>88</v>
      </c>
      <c r="E768" s="7">
        <f t="shared" si="1"/>
        <v>44</v>
      </c>
      <c r="F768" s="7" t="str">
        <f t="shared" si="2"/>
        <v>767.mp3</v>
      </c>
      <c r="G768" s="8" t="s">
        <v>8</v>
      </c>
    </row>
    <row r="769" ht="14.25" customHeight="1">
      <c r="A769" s="1">
        <v>768.0</v>
      </c>
      <c r="B769" s="1">
        <v>256.0</v>
      </c>
      <c r="C769" s="5" t="s">
        <v>772</v>
      </c>
      <c r="D769" s="6">
        <f>IFERROR(__xludf.DUMMYFUNCTION("COUNTA(SPLIT(TRIM(C769),"" ""))"),148.0)</f>
        <v>148</v>
      </c>
      <c r="E769" s="7">
        <f t="shared" si="1"/>
        <v>74</v>
      </c>
      <c r="F769" s="7" t="str">
        <f t="shared" si="2"/>
        <v>768.mp3</v>
      </c>
      <c r="G769" s="8" t="s">
        <v>8</v>
      </c>
    </row>
    <row r="770" ht="14.25" customHeight="1">
      <c r="A770" s="1">
        <v>769.0</v>
      </c>
      <c r="B770" s="1">
        <v>257.0</v>
      </c>
      <c r="C770" s="5" t="s">
        <v>773</v>
      </c>
      <c r="D770" s="6">
        <f>IFERROR(__xludf.DUMMYFUNCTION("COUNTA(SPLIT(TRIM(C770),"" ""))"),23.0)</f>
        <v>23</v>
      </c>
      <c r="E770" s="7">
        <f t="shared" si="1"/>
        <v>12</v>
      </c>
      <c r="F770" s="7" t="str">
        <f t="shared" si="2"/>
        <v>769.mp3</v>
      </c>
      <c r="G770" s="8" t="s">
        <v>8</v>
      </c>
    </row>
    <row r="771" ht="14.25" customHeight="1">
      <c r="A771" s="1">
        <v>770.0</v>
      </c>
      <c r="B771" s="1">
        <v>257.0</v>
      </c>
      <c r="C771" s="5" t="s">
        <v>774</v>
      </c>
      <c r="D771" s="6">
        <f>IFERROR(__xludf.DUMMYFUNCTION("COUNTA(SPLIT(TRIM(C771),"" ""))"),126.0)</f>
        <v>126</v>
      </c>
      <c r="E771" s="7">
        <f t="shared" si="1"/>
        <v>63</v>
      </c>
      <c r="F771" s="7" t="str">
        <f t="shared" si="2"/>
        <v>770.mp3</v>
      </c>
      <c r="G771" s="8" t="s">
        <v>8</v>
      </c>
    </row>
    <row r="772" ht="14.25" customHeight="1">
      <c r="A772" s="1">
        <v>771.0</v>
      </c>
      <c r="B772" s="1">
        <v>257.0</v>
      </c>
      <c r="C772" s="5" t="s">
        <v>775</v>
      </c>
      <c r="D772" s="6">
        <f>IFERROR(__xludf.DUMMYFUNCTION("COUNTA(SPLIT(TRIM(C772),"" ""))"),173.0)</f>
        <v>173</v>
      </c>
      <c r="E772" s="7">
        <f t="shared" si="1"/>
        <v>87</v>
      </c>
      <c r="F772" s="7" t="str">
        <f t="shared" si="2"/>
        <v>771.mp3</v>
      </c>
      <c r="G772" s="8" t="s">
        <v>8</v>
      </c>
    </row>
    <row r="773" ht="14.25" customHeight="1">
      <c r="A773" s="1">
        <v>772.0</v>
      </c>
      <c r="B773" s="1">
        <v>258.0</v>
      </c>
      <c r="C773" s="5" t="s">
        <v>776</v>
      </c>
      <c r="D773" s="6">
        <f>IFERROR(__xludf.DUMMYFUNCTION("COUNTA(SPLIT(TRIM(C773),"" ""))"),25.0)</f>
        <v>25</v>
      </c>
      <c r="E773" s="7">
        <f t="shared" si="1"/>
        <v>13</v>
      </c>
      <c r="F773" s="7" t="str">
        <f t="shared" si="2"/>
        <v>772.mp3</v>
      </c>
      <c r="G773" s="8" t="s">
        <v>8</v>
      </c>
    </row>
    <row r="774" ht="14.25" customHeight="1">
      <c r="A774" s="1">
        <v>773.0</v>
      </c>
      <c r="B774" s="1">
        <v>258.0</v>
      </c>
      <c r="C774" s="5" t="s">
        <v>777</v>
      </c>
      <c r="D774" s="6">
        <f>IFERROR(__xludf.DUMMYFUNCTION("COUNTA(SPLIT(TRIM(C774),"" ""))"),88.0)</f>
        <v>88</v>
      </c>
      <c r="E774" s="7">
        <f t="shared" si="1"/>
        <v>44</v>
      </c>
      <c r="F774" s="7" t="str">
        <f t="shared" si="2"/>
        <v>773.mp3</v>
      </c>
      <c r="G774" s="8" t="s">
        <v>8</v>
      </c>
    </row>
    <row r="775" ht="14.25" customHeight="1">
      <c r="A775" s="1">
        <v>774.0</v>
      </c>
      <c r="B775" s="1">
        <v>258.0</v>
      </c>
      <c r="C775" s="5" t="s">
        <v>778</v>
      </c>
      <c r="D775" s="6">
        <f>IFERROR(__xludf.DUMMYFUNCTION("COUNTA(SPLIT(TRIM(C775),"" ""))"),209.0)</f>
        <v>209</v>
      </c>
      <c r="E775" s="7">
        <f t="shared" si="1"/>
        <v>105</v>
      </c>
      <c r="F775" s="7" t="str">
        <f t="shared" si="2"/>
        <v>774.mp3</v>
      </c>
      <c r="G775" s="8" t="s">
        <v>8</v>
      </c>
    </row>
    <row r="776" ht="14.25" customHeight="1">
      <c r="A776" s="1">
        <v>775.0</v>
      </c>
      <c r="B776" s="1">
        <v>259.0</v>
      </c>
      <c r="C776" s="5" t="s">
        <v>779</v>
      </c>
      <c r="D776" s="6">
        <f>IFERROR(__xludf.DUMMYFUNCTION("COUNTA(SPLIT(TRIM(C776),"" ""))"),28.0)</f>
        <v>28</v>
      </c>
      <c r="E776" s="7">
        <f t="shared" si="1"/>
        <v>14</v>
      </c>
      <c r="F776" s="7" t="str">
        <f t="shared" si="2"/>
        <v>775.mp3</v>
      </c>
      <c r="G776" s="8" t="s">
        <v>8</v>
      </c>
    </row>
    <row r="777" ht="14.25" customHeight="1">
      <c r="A777" s="1">
        <v>776.0</v>
      </c>
      <c r="B777" s="1">
        <v>259.0</v>
      </c>
      <c r="C777" s="5" t="s">
        <v>780</v>
      </c>
      <c r="D777" s="6">
        <f>IFERROR(__xludf.DUMMYFUNCTION("COUNTA(SPLIT(TRIM(C777),"" ""))"),107.0)</f>
        <v>107</v>
      </c>
      <c r="E777" s="7">
        <f t="shared" si="1"/>
        <v>54</v>
      </c>
      <c r="F777" s="7" t="str">
        <f t="shared" si="2"/>
        <v>776.mp3</v>
      </c>
      <c r="G777" s="8" t="s">
        <v>8</v>
      </c>
    </row>
    <row r="778" ht="14.25" customHeight="1">
      <c r="A778" s="1">
        <v>777.0</v>
      </c>
      <c r="B778" s="1">
        <v>259.0</v>
      </c>
      <c r="C778" s="5" t="s">
        <v>781</v>
      </c>
      <c r="D778" s="6">
        <f>IFERROR(__xludf.DUMMYFUNCTION("COUNTA(SPLIT(TRIM(C778),"" ""))"),202.0)</f>
        <v>202</v>
      </c>
      <c r="E778" s="7">
        <f t="shared" si="1"/>
        <v>101</v>
      </c>
      <c r="F778" s="7" t="str">
        <f t="shared" si="2"/>
        <v>777.mp3</v>
      </c>
      <c r="G778" s="8" t="s">
        <v>8</v>
      </c>
    </row>
    <row r="779" ht="14.25" customHeight="1">
      <c r="A779" s="1">
        <v>778.0</v>
      </c>
      <c r="B779" s="1">
        <v>260.0</v>
      </c>
      <c r="C779" s="5" t="s">
        <v>782</v>
      </c>
      <c r="D779" s="6">
        <f>IFERROR(__xludf.DUMMYFUNCTION("COUNTA(SPLIT(TRIM(C779),"" ""))"),25.0)</f>
        <v>25</v>
      </c>
      <c r="E779" s="7">
        <f t="shared" si="1"/>
        <v>13</v>
      </c>
      <c r="F779" s="7" t="str">
        <f t="shared" si="2"/>
        <v>778.mp3</v>
      </c>
      <c r="G779" s="8" t="s">
        <v>8</v>
      </c>
    </row>
    <row r="780" ht="14.25" customHeight="1">
      <c r="A780" s="1">
        <v>779.0</v>
      </c>
      <c r="B780" s="1">
        <v>260.0</v>
      </c>
      <c r="C780" s="5" t="s">
        <v>783</v>
      </c>
      <c r="D780" s="6">
        <f>IFERROR(__xludf.DUMMYFUNCTION("COUNTA(SPLIT(TRIM(C780),"" ""))"),111.0)</f>
        <v>111</v>
      </c>
      <c r="E780" s="7">
        <f t="shared" si="1"/>
        <v>56</v>
      </c>
      <c r="F780" s="7" t="str">
        <f t="shared" si="2"/>
        <v>779.mp3</v>
      </c>
      <c r="G780" s="8" t="s">
        <v>8</v>
      </c>
    </row>
    <row r="781" ht="14.25" customHeight="1">
      <c r="A781" s="1">
        <v>780.0</v>
      </c>
      <c r="B781" s="1">
        <v>260.0</v>
      </c>
      <c r="C781" s="5" t="s">
        <v>784</v>
      </c>
      <c r="D781" s="6">
        <f>IFERROR(__xludf.DUMMYFUNCTION("COUNTA(SPLIT(TRIM(C781),"" ""))"),179.0)</f>
        <v>179</v>
      </c>
      <c r="E781" s="7">
        <f t="shared" si="1"/>
        <v>90</v>
      </c>
      <c r="F781" s="7" t="str">
        <f t="shared" si="2"/>
        <v>780.mp3</v>
      </c>
      <c r="G781" s="8" t="s">
        <v>8</v>
      </c>
    </row>
    <row r="782" ht="14.25" customHeight="1">
      <c r="A782" s="1">
        <v>781.0</v>
      </c>
      <c r="B782" s="1">
        <v>261.0</v>
      </c>
      <c r="C782" s="5" t="s">
        <v>785</v>
      </c>
      <c r="D782" s="6">
        <f>IFERROR(__xludf.DUMMYFUNCTION("COUNTA(SPLIT(TRIM(C782),"" ""))"),27.0)</f>
        <v>27</v>
      </c>
      <c r="E782" s="7">
        <f t="shared" si="1"/>
        <v>14</v>
      </c>
      <c r="F782" s="7" t="str">
        <f t="shared" si="2"/>
        <v>781.mp3</v>
      </c>
      <c r="G782" s="8" t="s">
        <v>8</v>
      </c>
    </row>
    <row r="783" ht="14.25" customHeight="1">
      <c r="A783" s="1">
        <v>782.0</v>
      </c>
      <c r="B783" s="1">
        <v>261.0</v>
      </c>
      <c r="C783" s="5" t="s">
        <v>786</v>
      </c>
      <c r="D783" s="6">
        <f>IFERROR(__xludf.DUMMYFUNCTION("COUNTA(SPLIT(TRIM(C783),"" ""))"),99.0)</f>
        <v>99</v>
      </c>
      <c r="E783" s="7">
        <f t="shared" si="1"/>
        <v>50</v>
      </c>
      <c r="F783" s="7" t="str">
        <f t="shared" si="2"/>
        <v>782.mp3</v>
      </c>
      <c r="G783" s="8" t="s">
        <v>8</v>
      </c>
    </row>
    <row r="784" ht="14.25" customHeight="1">
      <c r="A784" s="1">
        <v>783.0</v>
      </c>
      <c r="B784" s="1">
        <v>261.0</v>
      </c>
      <c r="C784" s="5" t="s">
        <v>787</v>
      </c>
      <c r="D784" s="6">
        <f>IFERROR(__xludf.DUMMYFUNCTION("COUNTA(SPLIT(TRIM(C784),"" ""))"),180.0)</f>
        <v>180</v>
      </c>
      <c r="E784" s="7">
        <f t="shared" si="1"/>
        <v>90</v>
      </c>
      <c r="F784" s="7" t="str">
        <f t="shared" si="2"/>
        <v>783.mp3</v>
      </c>
      <c r="G784" s="8" t="s">
        <v>8</v>
      </c>
    </row>
    <row r="785" ht="14.25" customHeight="1">
      <c r="A785" s="1">
        <v>784.0</v>
      </c>
      <c r="B785" s="1">
        <v>262.0</v>
      </c>
      <c r="C785" s="5" t="s">
        <v>788</v>
      </c>
      <c r="D785" s="6">
        <f>IFERROR(__xludf.DUMMYFUNCTION("COUNTA(SPLIT(TRIM(C785),"" ""))"),26.0)</f>
        <v>26</v>
      </c>
      <c r="E785" s="7">
        <f t="shared" si="1"/>
        <v>13</v>
      </c>
      <c r="F785" s="7" t="str">
        <f t="shared" si="2"/>
        <v>784.mp3</v>
      </c>
      <c r="G785" s="8" t="s">
        <v>8</v>
      </c>
    </row>
    <row r="786" ht="14.25" customHeight="1">
      <c r="A786" s="1">
        <v>785.0</v>
      </c>
      <c r="B786" s="1">
        <v>262.0</v>
      </c>
      <c r="C786" s="5" t="s">
        <v>789</v>
      </c>
      <c r="D786" s="6">
        <f>IFERROR(__xludf.DUMMYFUNCTION("COUNTA(SPLIT(TRIM(C786),"" ""))"),103.0)</f>
        <v>103</v>
      </c>
      <c r="E786" s="7">
        <f t="shared" si="1"/>
        <v>52</v>
      </c>
      <c r="F786" s="7" t="str">
        <f t="shared" si="2"/>
        <v>785.mp3</v>
      </c>
      <c r="G786" s="8" t="s">
        <v>8</v>
      </c>
    </row>
    <row r="787" ht="14.25" customHeight="1">
      <c r="A787" s="1">
        <v>786.0</v>
      </c>
      <c r="B787" s="1">
        <v>262.0</v>
      </c>
      <c r="C787" s="5" t="s">
        <v>790</v>
      </c>
      <c r="D787" s="6">
        <f>IFERROR(__xludf.DUMMYFUNCTION("COUNTA(SPLIT(TRIM(C787),"" ""))"),197.0)</f>
        <v>197</v>
      </c>
      <c r="E787" s="7">
        <f t="shared" si="1"/>
        <v>99</v>
      </c>
      <c r="F787" s="7" t="str">
        <f t="shared" si="2"/>
        <v>786.mp3</v>
      </c>
      <c r="G787" s="8" t="s">
        <v>8</v>
      </c>
    </row>
    <row r="788" ht="14.25" customHeight="1">
      <c r="A788" s="1">
        <v>787.0</v>
      </c>
      <c r="B788" s="1">
        <v>263.0</v>
      </c>
      <c r="C788" s="5" t="s">
        <v>791</v>
      </c>
      <c r="D788" s="6">
        <f>IFERROR(__xludf.DUMMYFUNCTION("COUNTA(SPLIT(TRIM(C788),"" ""))"),27.0)</f>
        <v>27</v>
      </c>
      <c r="E788" s="7">
        <f t="shared" si="1"/>
        <v>14</v>
      </c>
      <c r="F788" s="7" t="str">
        <f t="shared" si="2"/>
        <v>787.mp3</v>
      </c>
      <c r="G788" s="8" t="s">
        <v>8</v>
      </c>
    </row>
    <row r="789" ht="14.25" customHeight="1">
      <c r="A789" s="1">
        <v>788.0</v>
      </c>
      <c r="B789" s="1">
        <v>263.0</v>
      </c>
      <c r="C789" s="5" t="s">
        <v>792</v>
      </c>
      <c r="D789" s="6">
        <f>IFERROR(__xludf.DUMMYFUNCTION("COUNTA(SPLIT(TRIM(C789),"" ""))"),76.0)</f>
        <v>76</v>
      </c>
      <c r="E789" s="7">
        <f t="shared" si="1"/>
        <v>38</v>
      </c>
      <c r="F789" s="7" t="str">
        <f t="shared" si="2"/>
        <v>788.mp3</v>
      </c>
      <c r="G789" s="8" t="s">
        <v>8</v>
      </c>
    </row>
    <row r="790" ht="14.25" customHeight="1">
      <c r="A790" s="1">
        <v>789.0</v>
      </c>
      <c r="B790" s="1">
        <v>263.0</v>
      </c>
      <c r="C790" s="5" t="s">
        <v>793</v>
      </c>
      <c r="D790" s="6">
        <f>IFERROR(__xludf.DUMMYFUNCTION("COUNTA(SPLIT(TRIM(C790),"" ""))"),188.0)</f>
        <v>188</v>
      </c>
      <c r="E790" s="7">
        <f t="shared" si="1"/>
        <v>94</v>
      </c>
      <c r="F790" s="7" t="str">
        <f t="shared" si="2"/>
        <v>789.mp3</v>
      </c>
      <c r="G790" s="8" t="s">
        <v>8</v>
      </c>
    </row>
    <row r="791" ht="14.25" customHeight="1">
      <c r="A791" s="1">
        <v>790.0</v>
      </c>
      <c r="B791" s="1">
        <v>264.0</v>
      </c>
      <c r="C791" s="5" t="s">
        <v>794</v>
      </c>
      <c r="D791" s="6">
        <f>IFERROR(__xludf.DUMMYFUNCTION("COUNTA(SPLIT(TRIM(C791),"" ""))"),31.0)</f>
        <v>31</v>
      </c>
      <c r="E791" s="7">
        <f t="shared" si="1"/>
        <v>16</v>
      </c>
      <c r="F791" s="7" t="str">
        <f t="shared" si="2"/>
        <v>790.mp3</v>
      </c>
      <c r="G791" s="8" t="s">
        <v>8</v>
      </c>
    </row>
    <row r="792" ht="14.25" customHeight="1">
      <c r="A792" s="1">
        <v>791.0</v>
      </c>
      <c r="B792" s="1">
        <v>264.0</v>
      </c>
      <c r="C792" s="5" t="s">
        <v>795</v>
      </c>
      <c r="D792" s="6">
        <f>IFERROR(__xludf.DUMMYFUNCTION("COUNTA(SPLIT(TRIM(C792),"" ""))"),84.0)</f>
        <v>84</v>
      </c>
      <c r="E792" s="7">
        <f t="shared" si="1"/>
        <v>42</v>
      </c>
      <c r="F792" s="7" t="str">
        <f t="shared" si="2"/>
        <v>791.mp3</v>
      </c>
      <c r="G792" s="8" t="s">
        <v>8</v>
      </c>
    </row>
    <row r="793" ht="14.25" customHeight="1">
      <c r="A793" s="1">
        <v>792.0</v>
      </c>
      <c r="B793" s="1">
        <v>264.0</v>
      </c>
      <c r="C793" s="5" t="s">
        <v>796</v>
      </c>
      <c r="D793" s="6">
        <f>IFERROR(__xludf.DUMMYFUNCTION("COUNTA(SPLIT(TRIM(C793),"" ""))"),196.0)</f>
        <v>196</v>
      </c>
      <c r="E793" s="7">
        <f t="shared" si="1"/>
        <v>98</v>
      </c>
      <c r="F793" s="7" t="str">
        <f t="shared" si="2"/>
        <v>792.mp3</v>
      </c>
      <c r="G793" s="8" t="s">
        <v>8</v>
      </c>
    </row>
    <row r="794" ht="14.25" customHeight="1">
      <c r="A794" s="1">
        <v>793.0</v>
      </c>
      <c r="B794" s="1">
        <v>265.0</v>
      </c>
      <c r="C794" s="5" t="s">
        <v>797</v>
      </c>
      <c r="D794" s="6">
        <f>IFERROR(__xludf.DUMMYFUNCTION("COUNTA(SPLIT(TRIM(C794),"" ""))"),30.0)</f>
        <v>30</v>
      </c>
      <c r="E794" s="7">
        <f t="shared" si="1"/>
        <v>15</v>
      </c>
      <c r="F794" s="7" t="str">
        <f t="shared" si="2"/>
        <v>793.mp3</v>
      </c>
      <c r="G794" s="8" t="s">
        <v>8</v>
      </c>
    </row>
    <row r="795" ht="14.25" customHeight="1">
      <c r="A795" s="1">
        <v>794.0</v>
      </c>
      <c r="B795" s="1">
        <v>265.0</v>
      </c>
      <c r="C795" s="5" t="s">
        <v>798</v>
      </c>
      <c r="D795" s="6">
        <f>IFERROR(__xludf.DUMMYFUNCTION("COUNTA(SPLIT(TRIM(C795),"" ""))"),111.0)</f>
        <v>111</v>
      </c>
      <c r="E795" s="7">
        <f t="shared" si="1"/>
        <v>56</v>
      </c>
      <c r="F795" s="7" t="str">
        <f t="shared" si="2"/>
        <v>794.mp3</v>
      </c>
      <c r="G795" s="8" t="s">
        <v>8</v>
      </c>
    </row>
    <row r="796" ht="14.25" customHeight="1">
      <c r="A796" s="1">
        <v>795.0</v>
      </c>
      <c r="B796" s="1">
        <v>265.0</v>
      </c>
      <c r="C796" s="5" t="s">
        <v>799</v>
      </c>
      <c r="D796" s="6">
        <f>IFERROR(__xludf.DUMMYFUNCTION("COUNTA(SPLIT(TRIM(C796),"" ""))"),168.0)</f>
        <v>168</v>
      </c>
      <c r="E796" s="7">
        <f t="shared" si="1"/>
        <v>84</v>
      </c>
      <c r="F796" s="7" t="str">
        <f t="shared" si="2"/>
        <v>795.mp3</v>
      </c>
      <c r="G796" s="8" t="s">
        <v>8</v>
      </c>
    </row>
    <row r="797" ht="14.25" customHeight="1">
      <c r="A797" s="1">
        <v>796.0</v>
      </c>
      <c r="B797" s="1">
        <v>266.0</v>
      </c>
      <c r="C797" s="5" t="s">
        <v>800</v>
      </c>
      <c r="D797" s="6">
        <f>IFERROR(__xludf.DUMMYFUNCTION("COUNTA(SPLIT(TRIM(C797),"" ""))"),28.0)</f>
        <v>28</v>
      </c>
      <c r="E797" s="7">
        <f t="shared" si="1"/>
        <v>14</v>
      </c>
      <c r="F797" s="7" t="str">
        <f t="shared" si="2"/>
        <v>796.mp3</v>
      </c>
      <c r="G797" s="8" t="s">
        <v>8</v>
      </c>
    </row>
    <row r="798" ht="14.25" customHeight="1">
      <c r="A798" s="1">
        <v>797.0</v>
      </c>
      <c r="B798" s="1">
        <v>266.0</v>
      </c>
      <c r="C798" s="5" t="s">
        <v>801</v>
      </c>
      <c r="D798" s="6">
        <f>IFERROR(__xludf.DUMMYFUNCTION("COUNTA(SPLIT(TRIM(C798),"" ""))"),91.0)</f>
        <v>91</v>
      </c>
      <c r="E798" s="7">
        <f t="shared" si="1"/>
        <v>46</v>
      </c>
      <c r="F798" s="7" t="str">
        <f t="shared" si="2"/>
        <v>797.mp3</v>
      </c>
      <c r="G798" s="8" t="s">
        <v>8</v>
      </c>
    </row>
    <row r="799" ht="14.25" customHeight="1">
      <c r="A799" s="1">
        <v>798.0</v>
      </c>
      <c r="B799" s="1">
        <v>266.0</v>
      </c>
      <c r="C799" s="5" t="s">
        <v>802</v>
      </c>
      <c r="D799" s="6">
        <f>IFERROR(__xludf.DUMMYFUNCTION("COUNTA(SPLIT(TRIM(C799),"" ""))"),201.0)</f>
        <v>201</v>
      </c>
      <c r="E799" s="7">
        <f t="shared" si="1"/>
        <v>101</v>
      </c>
      <c r="F799" s="7" t="str">
        <f t="shared" si="2"/>
        <v>798.mp3</v>
      </c>
      <c r="G799" s="8" t="s">
        <v>8</v>
      </c>
    </row>
    <row r="800" ht="14.25" customHeight="1">
      <c r="A800" s="1">
        <v>799.0</v>
      </c>
      <c r="B800" s="1">
        <v>267.0</v>
      </c>
      <c r="C800" s="5" t="s">
        <v>803</v>
      </c>
      <c r="D800" s="6">
        <f>IFERROR(__xludf.DUMMYFUNCTION("COUNTA(SPLIT(TRIM(C800),"" ""))"),27.0)</f>
        <v>27</v>
      </c>
      <c r="E800" s="7">
        <f t="shared" si="1"/>
        <v>14</v>
      </c>
      <c r="F800" s="7" t="str">
        <f t="shared" si="2"/>
        <v>799.mp3</v>
      </c>
      <c r="G800" s="8" t="s">
        <v>8</v>
      </c>
    </row>
    <row r="801" ht="14.25" customHeight="1">
      <c r="A801" s="1">
        <v>800.0</v>
      </c>
      <c r="B801" s="1">
        <v>267.0</v>
      </c>
      <c r="C801" s="5" t="s">
        <v>804</v>
      </c>
      <c r="D801" s="6">
        <f>IFERROR(__xludf.DUMMYFUNCTION("COUNTA(SPLIT(TRIM(C801),"" ""))"),112.0)</f>
        <v>112</v>
      </c>
      <c r="E801" s="7">
        <f t="shared" si="1"/>
        <v>56</v>
      </c>
      <c r="F801" s="7" t="str">
        <f t="shared" si="2"/>
        <v>800.mp3</v>
      </c>
      <c r="G801" s="8" t="s">
        <v>8</v>
      </c>
    </row>
    <row r="802" ht="14.25" customHeight="1">
      <c r="A802" s="1">
        <v>801.0</v>
      </c>
      <c r="B802" s="1">
        <v>267.0</v>
      </c>
      <c r="C802" s="5" t="s">
        <v>805</v>
      </c>
      <c r="D802" s="6">
        <f>IFERROR(__xludf.DUMMYFUNCTION("COUNTA(SPLIT(TRIM(C802),"" ""))"),195.0)</f>
        <v>195</v>
      </c>
      <c r="E802" s="7">
        <f t="shared" si="1"/>
        <v>98</v>
      </c>
      <c r="F802" s="7" t="str">
        <f t="shared" si="2"/>
        <v>801.mp3</v>
      </c>
      <c r="G802" s="8" t="s">
        <v>8</v>
      </c>
    </row>
    <row r="803" ht="14.25" customHeight="1">
      <c r="A803" s="1">
        <v>802.0</v>
      </c>
      <c r="B803" s="1">
        <v>268.0</v>
      </c>
      <c r="C803" s="5" t="s">
        <v>806</v>
      </c>
      <c r="D803" s="6">
        <f>IFERROR(__xludf.DUMMYFUNCTION("COUNTA(SPLIT(TRIM(C803),"" ""))"),26.0)</f>
        <v>26</v>
      </c>
      <c r="E803" s="7">
        <f t="shared" si="1"/>
        <v>13</v>
      </c>
      <c r="F803" s="7" t="str">
        <f t="shared" si="2"/>
        <v>802.mp3</v>
      </c>
      <c r="G803" s="8" t="s">
        <v>8</v>
      </c>
    </row>
    <row r="804" ht="14.25" customHeight="1">
      <c r="A804" s="1">
        <v>803.0</v>
      </c>
      <c r="B804" s="1">
        <v>268.0</v>
      </c>
      <c r="C804" s="5" t="s">
        <v>807</v>
      </c>
      <c r="D804" s="6">
        <f>IFERROR(__xludf.DUMMYFUNCTION("COUNTA(SPLIT(TRIM(C804),"" ""))"),96.0)</f>
        <v>96</v>
      </c>
      <c r="E804" s="7">
        <f t="shared" si="1"/>
        <v>48</v>
      </c>
      <c r="F804" s="7" t="str">
        <f t="shared" si="2"/>
        <v>803.mp3</v>
      </c>
      <c r="G804" s="8" t="s">
        <v>8</v>
      </c>
    </row>
    <row r="805" ht="14.25" customHeight="1">
      <c r="A805" s="1">
        <v>804.0</v>
      </c>
      <c r="B805" s="1">
        <v>268.0</v>
      </c>
      <c r="C805" s="5" t="s">
        <v>808</v>
      </c>
      <c r="D805" s="6">
        <f>IFERROR(__xludf.DUMMYFUNCTION("COUNTA(SPLIT(TRIM(C805),"" ""))"),190.0)</f>
        <v>190</v>
      </c>
      <c r="E805" s="7">
        <f t="shared" si="1"/>
        <v>95</v>
      </c>
      <c r="F805" s="7" t="str">
        <f t="shared" si="2"/>
        <v>804.mp3</v>
      </c>
      <c r="G805" s="8" t="s">
        <v>8</v>
      </c>
    </row>
    <row r="806" ht="14.25" customHeight="1">
      <c r="A806" s="1">
        <v>805.0</v>
      </c>
      <c r="B806" s="1">
        <v>269.0</v>
      </c>
      <c r="C806" s="5" t="s">
        <v>809</v>
      </c>
      <c r="D806" s="6">
        <f>IFERROR(__xludf.DUMMYFUNCTION("COUNTA(SPLIT(TRIM(C806),"" ""))"),25.0)</f>
        <v>25</v>
      </c>
      <c r="E806" s="7">
        <f t="shared" si="1"/>
        <v>13</v>
      </c>
      <c r="F806" s="7" t="str">
        <f t="shared" si="2"/>
        <v>805.mp3</v>
      </c>
      <c r="G806" s="8" t="s">
        <v>8</v>
      </c>
    </row>
    <row r="807" ht="14.25" customHeight="1">
      <c r="A807" s="1">
        <v>806.0</v>
      </c>
      <c r="B807" s="1">
        <v>269.0</v>
      </c>
      <c r="C807" s="5" t="s">
        <v>810</v>
      </c>
      <c r="D807" s="6">
        <f>IFERROR(__xludf.DUMMYFUNCTION("COUNTA(SPLIT(TRIM(C807),"" ""))"),91.0)</f>
        <v>91</v>
      </c>
      <c r="E807" s="7">
        <f t="shared" si="1"/>
        <v>46</v>
      </c>
      <c r="F807" s="7" t="str">
        <f t="shared" si="2"/>
        <v>806.mp3</v>
      </c>
      <c r="G807" s="8" t="s">
        <v>8</v>
      </c>
    </row>
    <row r="808" ht="14.25" customHeight="1">
      <c r="A808" s="1">
        <v>807.0</v>
      </c>
      <c r="B808" s="1">
        <v>269.0</v>
      </c>
      <c r="C808" s="5" t="s">
        <v>811</v>
      </c>
      <c r="D808" s="6">
        <f>IFERROR(__xludf.DUMMYFUNCTION("COUNTA(SPLIT(TRIM(C808),"" ""))"),206.0)</f>
        <v>206</v>
      </c>
      <c r="E808" s="7">
        <f t="shared" si="1"/>
        <v>103</v>
      </c>
      <c r="F808" s="7" t="str">
        <f t="shared" si="2"/>
        <v>807.mp3</v>
      </c>
      <c r="G808" s="8" t="s">
        <v>8</v>
      </c>
    </row>
    <row r="809" ht="14.25" customHeight="1">
      <c r="A809" s="1">
        <v>808.0</v>
      </c>
      <c r="B809" s="1">
        <v>270.0</v>
      </c>
      <c r="C809" s="5" t="s">
        <v>812</v>
      </c>
      <c r="D809" s="6">
        <f>IFERROR(__xludf.DUMMYFUNCTION("COUNTA(SPLIT(TRIM(C809),"" ""))"),27.0)</f>
        <v>27</v>
      </c>
      <c r="E809" s="7">
        <f t="shared" si="1"/>
        <v>14</v>
      </c>
      <c r="F809" s="7" t="str">
        <f t="shared" si="2"/>
        <v>808.mp3</v>
      </c>
      <c r="G809" s="8" t="s">
        <v>8</v>
      </c>
    </row>
    <row r="810" ht="14.25" customHeight="1">
      <c r="A810" s="1">
        <v>809.0</v>
      </c>
      <c r="B810" s="1">
        <v>270.0</v>
      </c>
      <c r="C810" s="5" t="s">
        <v>813</v>
      </c>
      <c r="D810" s="6">
        <f>IFERROR(__xludf.DUMMYFUNCTION("COUNTA(SPLIT(TRIM(C810),"" ""))"),108.0)</f>
        <v>108</v>
      </c>
      <c r="E810" s="7">
        <f t="shared" si="1"/>
        <v>54</v>
      </c>
      <c r="F810" s="7" t="str">
        <f t="shared" si="2"/>
        <v>809.mp3</v>
      </c>
      <c r="G810" s="8" t="s">
        <v>8</v>
      </c>
    </row>
    <row r="811" ht="14.25" customHeight="1">
      <c r="A811" s="1">
        <v>810.0</v>
      </c>
      <c r="B811" s="1">
        <v>270.0</v>
      </c>
      <c r="C811" s="5" t="s">
        <v>814</v>
      </c>
      <c r="D811" s="6">
        <f>IFERROR(__xludf.DUMMYFUNCTION("COUNTA(SPLIT(TRIM(C811),"" ""))"),196.0)</f>
        <v>196</v>
      </c>
      <c r="E811" s="7">
        <f t="shared" si="1"/>
        <v>98</v>
      </c>
      <c r="F811" s="7" t="str">
        <f t="shared" si="2"/>
        <v>810.mp3</v>
      </c>
      <c r="G811" s="8" t="s">
        <v>8</v>
      </c>
    </row>
    <row r="812" ht="14.25" customHeight="1">
      <c r="A812" s="1">
        <v>811.0</v>
      </c>
      <c r="B812" s="1">
        <v>271.0</v>
      </c>
      <c r="C812" s="5" t="s">
        <v>815</v>
      </c>
      <c r="D812" s="6">
        <f>IFERROR(__xludf.DUMMYFUNCTION("COUNTA(SPLIT(TRIM(C812),"" ""))"),27.0)</f>
        <v>27</v>
      </c>
      <c r="E812" s="7">
        <f t="shared" si="1"/>
        <v>14</v>
      </c>
      <c r="F812" s="7" t="str">
        <f t="shared" si="2"/>
        <v>811.mp3</v>
      </c>
      <c r="G812" s="8" t="s">
        <v>8</v>
      </c>
    </row>
    <row r="813" ht="14.25" customHeight="1">
      <c r="A813" s="1">
        <v>812.0</v>
      </c>
      <c r="B813" s="1">
        <v>271.0</v>
      </c>
      <c r="C813" s="5" t="s">
        <v>816</v>
      </c>
      <c r="D813" s="6">
        <f>IFERROR(__xludf.DUMMYFUNCTION("COUNTA(SPLIT(TRIM(C813),"" ""))"),109.0)</f>
        <v>109</v>
      </c>
      <c r="E813" s="7">
        <f t="shared" si="1"/>
        <v>55</v>
      </c>
      <c r="F813" s="7" t="str">
        <f t="shared" si="2"/>
        <v>812.mp3</v>
      </c>
      <c r="G813" s="8" t="s">
        <v>8</v>
      </c>
    </row>
    <row r="814" ht="14.25" customHeight="1">
      <c r="A814" s="1">
        <v>813.0</v>
      </c>
      <c r="B814" s="1">
        <v>271.0</v>
      </c>
      <c r="C814" s="5" t="s">
        <v>817</v>
      </c>
      <c r="D814" s="6">
        <f>IFERROR(__xludf.DUMMYFUNCTION("COUNTA(SPLIT(TRIM(C814),"" ""))"),137.0)</f>
        <v>137</v>
      </c>
      <c r="E814" s="7">
        <f t="shared" si="1"/>
        <v>69</v>
      </c>
      <c r="F814" s="7" t="str">
        <f t="shared" si="2"/>
        <v>813.mp3</v>
      </c>
      <c r="G814" s="8" t="s">
        <v>8</v>
      </c>
    </row>
    <row r="815" ht="14.25" customHeight="1">
      <c r="A815" s="1">
        <v>814.0</v>
      </c>
      <c r="B815" s="1">
        <v>272.0</v>
      </c>
      <c r="C815" s="5" t="s">
        <v>818</v>
      </c>
      <c r="D815" s="6">
        <f>IFERROR(__xludf.DUMMYFUNCTION("COUNTA(SPLIT(TRIM(C815),"" ""))"),21.0)</f>
        <v>21</v>
      </c>
      <c r="E815" s="7">
        <f t="shared" si="1"/>
        <v>11</v>
      </c>
      <c r="F815" s="7" t="str">
        <f t="shared" si="2"/>
        <v>814.mp3</v>
      </c>
      <c r="G815" s="8" t="s">
        <v>8</v>
      </c>
    </row>
    <row r="816" ht="14.25" customHeight="1">
      <c r="A816" s="1">
        <v>815.0</v>
      </c>
      <c r="B816" s="1">
        <v>272.0</v>
      </c>
      <c r="C816" s="5" t="s">
        <v>819</v>
      </c>
      <c r="D816" s="6">
        <f>IFERROR(__xludf.DUMMYFUNCTION("COUNTA(SPLIT(TRIM(C816),"" ""))"),103.0)</f>
        <v>103</v>
      </c>
      <c r="E816" s="7">
        <f t="shared" si="1"/>
        <v>52</v>
      </c>
      <c r="F816" s="7" t="str">
        <f t="shared" si="2"/>
        <v>815.mp3</v>
      </c>
      <c r="G816" s="8" t="s">
        <v>8</v>
      </c>
    </row>
    <row r="817" ht="14.25" customHeight="1">
      <c r="A817" s="1">
        <v>816.0</v>
      </c>
      <c r="B817" s="1">
        <v>272.0</v>
      </c>
      <c r="C817" s="5" t="s">
        <v>820</v>
      </c>
      <c r="D817" s="6">
        <f>IFERROR(__xludf.DUMMYFUNCTION("COUNTA(SPLIT(TRIM(C817),"" ""))"),165.0)</f>
        <v>165</v>
      </c>
      <c r="E817" s="7">
        <f t="shared" si="1"/>
        <v>83</v>
      </c>
      <c r="F817" s="7" t="str">
        <f t="shared" si="2"/>
        <v>816.mp3</v>
      </c>
      <c r="G817" s="8" t="s">
        <v>8</v>
      </c>
    </row>
    <row r="818" ht="14.25" customHeight="1">
      <c r="A818" s="1">
        <v>817.0</v>
      </c>
      <c r="B818" s="1">
        <v>273.0</v>
      </c>
      <c r="C818" s="5" t="s">
        <v>821</v>
      </c>
      <c r="D818" s="6">
        <f>IFERROR(__xludf.DUMMYFUNCTION("COUNTA(SPLIT(TRIM(C818),"" ""))"),31.0)</f>
        <v>31</v>
      </c>
      <c r="E818" s="7">
        <f t="shared" si="1"/>
        <v>16</v>
      </c>
      <c r="F818" s="7" t="str">
        <f t="shared" si="2"/>
        <v>817.mp3</v>
      </c>
      <c r="G818" s="8" t="s">
        <v>8</v>
      </c>
    </row>
    <row r="819" ht="14.25" customHeight="1">
      <c r="A819" s="1">
        <v>818.0</v>
      </c>
      <c r="B819" s="1">
        <v>273.0</v>
      </c>
      <c r="C819" s="5" t="s">
        <v>822</v>
      </c>
      <c r="D819" s="6">
        <f>IFERROR(__xludf.DUMMYFUNCTION("COUNTA(SPLIT(TRIM(C819),"" ""))"),97.0)</f>
        <v>97</v>
      </c>
      <c r="E819" s="7">
        <f t="shared" si="1"/>
        <v>49</v>
      </c>
      <c r="F819" s="7" t="str">
        <f t="shared" si="2"/>
        <v>818.mp3</v>
      </c>
      <c r="G819" s="8" t="s">
        <v>8</v>
      </c>
    </row>
    <row r="820" ht="14.25" customHeight="1">
      <c r="A820" s="1">
        <v>819.0</v>
      </c>
      <c r="B820" s="1">
        <v>273.0</v>
      </c>
      <c r="C820" s="5" t="s">
        <v>823</v>
      </c>
      <c r="D820" s="6">
        <f>IFERROR(__xludf.DUMMYFUNCTION("COUNTA(SPLIT(TRIM(C820),"" ""))"),196.0)</f>
        <v>196</v>
      </c>
      <c r="E820" s="7">
        <f t="shared" si="1"/>
        <v>98</v>
      </c>
      <c r="F820" s="7" t="str">
        <f t="shared" si="2"/>
        <v>819.mp3</v>
      </c>
      <c r="G820" s="8" t="s">
        <v>8</v>
      </c>
    </row>
    <row r="821" ht="14.25" customHeight="1">
      <c r="A821" s="1">
        <v>820.0</v>
      </c>
      <c r="B821" s="1">
        <v>274.0</v>
      </c>
      <c r="C821" s="5" t="s">
        <v>824</v>
      </c>
      <c r="D821" s="6">
        <f>IFERROR(__xludf.DUMMYFUNCTION("COUNTA(SPLIT(TRIM(C821),"" ""))"),29.0)</f>
        <v>29</v>
      </c>
      <c r="E821" s="7">
        <f t="shared" si="1"/>
        <v>15</v>
      </c>
      <c r="F821" s="7" t="str">
        <f t="shared" si="2"/>
        <v>820.mp3</v>
      </c>
      <c r="G821" s="8" t="s">
        <v>8</v>
      </c>
    </row>
    <row r="822" ht="14.25" customHeight="1">
      <c r="A822" s="1">
        <v>821.0</v>
      </c>
      <c r="B822" s="1">
        <v>274.0</v>
      </c>
      <c r="C822" s="5" t="s">
        <v>825</v>
      </c>
      <c r="D822" s="6">
        <f>IFERROR(__xludf.DUMMYFUNCTION("COUNTA(SPLIT(TRIM(C822),"" ""))"),71.0)</f>
        <v>71</v>
      </c>
      <c r="E822" s="7">
        <f t="shared" si="1"/>
        <v>36</v>
      </c>
      <c r="F822" s="7" t="str">
        <f t="shared" si="2"/>
        <v>821.mp3</v>
      </c>
      <c r="G822" s="8" t="s">
        <v>8</v>
      </c>
    </row>
    <row r="823" ht="14.25" customHeight="1">
      <c r="A823" s="1">
        <v>822.0</v>
      </c>
      <c r="B823" s="1">
        <v>274.0</v>
      </c>
      <c r="C823" s="5" t="s">
        <v>826</v>
      </c>
      <c r="D823" s="6">
        <f>IFERROR(__xludf.DUMMYFUNCTION("COUNTA(SPLIT(TRIM(C823),"" ""))"),189.0)</f>
        <v>189</v>
      </c>
      <c r="E823" s="7">
        <f t="shared" si="1"/>
        <v>95</v>
      </c>
      <c r="F823" s="7" t="str">
        <f t="shared" si="2"/>
        <v>822.mp3</v>
      </c>
      <c r="G823" s="8" t="s">
        <v>8</v>
      </c>
    </row>
    <row r="824" ht="14.25" customHeight="1">
      <c r="A824" s="1">
        <v>823.0</v>
      </c>
      <c r="B824" s="1">
        <v>275.0</v>
      </c>
      <c r="C824" s="5" t="s">
        <v>827</v>
      </c>
      <c r="D824" s="6">
        <f>IFERROR(__xludf.DUMMYFUNCTION("COUNTA(SPLIT(TRIM(C824),"" ""))"),27.0)</f>
        <v>27</v>
      </c>
      <c r="E824" s="7">
        <f t="shared" si="1"/>
        <v>14</v>
      </c>
      <c r="F824" s="7" t="str">
        <f t="shared" si="2"/>
        <v>823.mp3</v>
      </c>
      <c r="G824" s="8" t="s">
        <v>8</v>
      </c>
    </row>
    <row r="825" ht="14.25" customHeight="1">
      <c r="A825" s="1">
        <v>824.0</v>
      </c>
      <c r="B825" s="1">
        <v>275.0</v>
      </c>
      <c r="C825" s="5" t="s">
        <v>828</v>
      </c>
      <c r="D825" s="6">
        <f>IFERROR(__xludf.DUMMYFUNCTION("COUNTA(SPLIT(TRIM(C825),"" ""))"),121.0)</f>
        <v>121</v>
      </c>
      <c r="E825" s="7">
        <f t="shared" si="1"/>
        <v>61</v>
      </c>
      <c r="F825" s="7" t="str">
        <f t="shared" si="2"/>
        <v>824.mp3</v>
      </c>
      <c r="G825" s="8" t="s">
        <v>8</v>
      </c>
    </row>
    <row r="826" ht="14.25" customHeight="1">
      <c r="A826" s="1">
        <v>825.0</v>
      </c>
      <c r="B826" s="1">
        <v>275.0</v>
      </c>
      <c r="C826" s="5" t="s">
        <v>829</v>
      </c>
      <c r="D826" s="6">
        <f>IFERROR(__xludf.DUMMYFUNCTION("COUNTA(SPLIT(TRIM(C826),"" ""))"),199.0)</f>
        <v>199</v>
      </c>
      <c r="E826" s="7">
        <f t="shared" si="1"/>
        <v>100</v>
      </c>
      <c r="F826" s="7" t="str">
        <f t="shared" si="2"/>
        <v>825.mp3</v>
      </c>
      <c r="G826" s="8" t="s">
        <v>8</v>
      </c>
    </row>
    <row r="827" ht="14.25" customHeight="1">
      <c r="A827" s="1">
        <v>826.0</v>
      </c>
      <c r="B827" s="1">
        <v>276.0</v>
      </c>
      <c r="C827" s="5" t="s">
        <v>830</v>
      </c>
      <c r="D827" s="6">
        <f>IFERROR(__xludf.DUMMYFUNCTION("COUNTA(SPLIT(TRIM(C827),"" ""))"),30.0)</f>
        <v>30</v>
      </c>
      <c r="E827" s="7">
        <f t="shared" si="1"/>
        <v>15</v>
      </c>
      <c r="F827" s="7" t="str">
        <f t="shared" si="2"/>
        <v>826.mp3</v>
      </c>
      <c r="G827" s="8" t="s">
        <v>8</v>
      </c>
    </row>
    <row r="828" ht="14.25" customHeight="1">
      <c r="A828" s="1">
        <v>827.0</v>
      </c>
      <c r="B828" s="1">
        <v>276.0</v>
      </c>
      <c r="C828" s="5" t="s">
        <v>831</v>
      </c>
      <c r="D828" s="6">
        <f>IFERROR(__xludf.DUMMYFUNCTION("COUNTA(SPLIT(TRIM(C828),"" ""))"),92.0)</f>
        <v>92</v>
      </c>
      <c r="E828" s="7">
        <f t="shared" si="1"/>
        <v>46</v>
      </c>
      <c r="F828" s="7" t="str">
        <f t="shared" si="2"/>
        <v>827.mp3</v>
      </c>
      <c r="G828" s="8" t="s">
        <v>8</v>
      </c>
    </row>
    <row r="829" ht="14.25" customHeight="1">
      <c r="A829" s="1">
        <v>828.0</v>
      </c>
      <c r="B829" s="1">
        <v>276.0</v>
      </c>
      <c r="C829" s="5" t="s">
        <v>832</v>
      </c>
      <c r="D829" s="6">
        <f>IFERROR(__xludf.DUMMYFUNCTION("COUNTA(SPLIT(TRIM(C829),"" ""))"),200.0)</f>
        <v>200</v>
      </c>
      <c r="E829" s="7">
        <f t="shared" si="1"/>
        <v>100</v>
      </c>
      <c r="F829" s="7" t="str">
        <f t="shared" si="2"/>
        <v>828.mp3</v>
      </c>
      <c r="G829" s="8" t="s">
        <v>8</v>
      </c>
    </row>
  </sheetData>
  <autoFilter ref="$B$1:$AC$829">
    <sortState ref="B1:AC829">
      <sortCondition ref="B1:B829"/>
      <sortCondition ref="C1:C829"/>
    </sortState>
  </autoFilter>
  <printOptions/>
  <pageMargins bottom="0.7519685039370079" footer="0.0" header="0.0" left="0.7007874015748032" right="0.7007874015748032" top="0.7519685039370079"/>
  <pageSetup paperSize="9" orientation="portrait"/>
  <drawing r:id="rId1"/>
</worksheet>
</file>